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Сводка" sheetId="1" state="visible" r:id="rId1"/>
    <sheet name="Конкуренты" sheetId="2" state="visible" r:id="rId2"/>
    <sheet name="Telegram" sheetId="3" state="visible" r:id="rId3"/>
    <sheet name="KPI-трекер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&quot; ₽&quot;;\(#,##0&quot; ₽)&quot;;\-"/>
    <numFmt numFmtId="166" formatCode="0.0\x"/>
  </numFmts>
  <fonts count="33">
    <font>
      <name val="Arial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C9D6DA"/>
      <sz val="9"/>
    </font>
    <font>
      <name val="Arial"/>
      <charset val="1"/>
      <family val="0"/>
      <b val="1"/>
      <color rgb="FF2F8F7F"/>
      <sz val="9"/>
    </font>
    <font>
      <name val="Arial"/>
      <charset val="1"/>
      <family val="0"/>
      <color rgb="FF2B364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2B3640"/>
      <sz val="9"/>
    </font>
    <font>
      <name val="Arial"/>
      <charset val="1"/>
      <family val="0"/>
      <color rgb="FF2B3640"/>
      <sz val="9"/>
    </font>
    <font>
      <name val="Arial"/>
      <charset val="1"/>
      <family val="0"/>
      <i val="1"/>
      <color rgb="FF7A8794"/>
      <sz val="9"/>
    </font>
    <font>
      <name val="Arial"/>
      <charset val="1"/>
      <family val="0"/>
      <color rgb="FF7A8794"/>
      <sz val="9"/>
    </font>
    <font>
      <name val="Arial"/>
      <charset val="1"/>
      <family val="0"/>
      <b val="1"/>
      <color rgb="FF2F8F7F"/>
      <sz val="22"/>
    </font>
    <font>
      <name val="Arial"/>
      <charset val="1"/>
      <family val="0"/>
      <b val="1"/>
      <color rgb="FFC0392B"/>
      <sz val="22"/>
    </font>
    <font>
      <name val="Arial"/>
      <charset val="1"/>
      <family val="0"/>
      <b val="1"/>
      <color rgb="FF15323D"/>
      <sz val="18"/>
    </font>
    <font>
      <name val="Arial"/>
      <charset val="1"/>
      <family val="0"/>
      <b val="1"/>
      <color rgb="FF2B364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111111"/>
      <sz val="10"/>
    </font>
    <font>
      <name val="Arial"/>
      <charset val="1"/>
      <family val="0"/>
      <b val="1"/>
      <sz val="9"/>
    </font>
    <font>
      <name val="Arial"/>
      <charset val="1"/>
      <family val="0"/>
      <sz val="9"/>
    </font>
    <font>
      <name val="Arial"/>
      <charset val="1"/>
      <family val="0"/>
      <color rgb="FF1F4E78"/>
      <sz val="9"/>
    </font>
    <font>
      <name val="Arial"/>
      <charset val="1"/>
      <family val="0"/>
      <b val="1"/>
      <color rgb="FFFFFFFF"/>
      <sz val="13"/>
    </font>
    <font>
      <name val="Arial"/>
      <charset val="1"/>
      <family val="0"/>
      <color theme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808080"/>
      <sz val="10"/>
    </font>
    <font>
      <name val="Arial"/>
      <charset val="1"/>
      <family val="0"/>
      <b val="1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color rgb="FF555555"/>
      <sz val="9"/>
    </font>
  </fonts>
  <fills count="15">
    <fill>
      <patternFill/>
    </fill>
    <fill>
      <patternFill patternType="gray125"/>
    </fill>
    <fill>
      <patternFill patternType="solid">
        <fgColor rgb="FFFFFFFF"/>
        <bgColor rgb="FFF6F9FA"/>
      </patternFill>
    </fill>
    <fill>
      <patternFill patternType="solid">
        <fgColor rgb="FF15323D"/>
        <bgColor rgb="FF2B3640"/>
      </patternFill>
    </fill>
    <fill>
      <patternFill patternType="solid">
        <fgColor rgb="FFE8F3F0"/>
        <bgColor rgb="FFEEF3F4"/>
      </patternFill>
    </fill>
    <fill>
      <patternFill patternType="solid">
        <fgColor rgb="FFF6F9FA"/>
        <bgColor rgb="FFEEF3F4"/>
      </patternFill>
    </fill>
    <fill>
      <patternFill patternType="solid">
        <fgColor rgb="FF2F8F7F"/>
        <bgColor rgb="FF2E75B6"/>
      </patternFill>
    </fill>
    <fill>
      <patternFill patternType="solid">
        <fgColor rgb="FFEEF3F4"/>
        <bgColor rgb="FFEAF1FB"/>
      </patternFill>
    </fill>
    <fill>
      <patternFill patternType="solid">
        <fgColor rgb="FFE3F0EA"/>
        <bgColor rgb="FFE8F3F0"/>
      </patternFill>
    </fill>
    <fill>
      <patternFill patternType="solid">
        <fgColor rgb="FFFBF3DA"/>
        <bgColor rgb="FFFFF2CC"/>
      </patternFill>
    </fill>
    <fill>
      <patternFill patternType="solid">
        <fgColor rgb="FF1F4E78"/>
        <bgColor rgb="FF2B3640"/>
      </patternFill>
    </fill>
    <fill>
      <patternFill patternType="solid">
        <fgColor rgb="FF2E75B6"/>
        <bgColor rgb="FF2F8F7F"/>
      </patternFill>
    </fill>
    <fill>
      <patternFill patternType="solid">
        <fgColor rgb="FFEAF1FB"/>
        <bgColor rgb="FFEEF3F4"/>
      </patternFill>
    </fill>
    <fill>
      <patternFill patternType="solid">
        <fgColor rgb="FFDCE9D5"/>
        <bgColor rgb="FFD7E0E3"/>
      </patternFill>
    </fill>
    <fill>
      <patternFill patternType="solid">
        <fgColor rgb="FFFFF2CC"/>
        <bgColor rgb="FFFBF3DA"/>
      </patternFill>
    </fill>
  </fills>
  <borders count="10">
    <border>
      <left/>
      <right/>
      <top/>
      <bottom/>
      <diagonal/>
    </border>
    <border>
      <left/>
      <right/>
      <top/>
      <bottom style="thin">
        <color rgb="FF2F8F7F"/>
      </bottom>
      <diagonal/>
    </border>
    <border>
      <left style="thin">
        <color rgb="FFD7E0E3"/>
      </left>
      <right style="thin">
        <color rgb="FFD7E0E3"/>
      </right>
      <top style="thin">
        <color rgb="FFD7E0E3"/>
      </top>
      <bottom style="thin">
        <color rgb="FFD7E0E3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/>
      <diagonal/>
    </border>
    <border>
      <left/>
      <right style="thin">
        <color rgb="FFD7E0E3"/>
      </right>
      <top style="thin">
        <color rgb="FFD7E0E3"/>
      </top>
      <bottom style="thin">
        <color rgb="FFD7E0E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5" borderId="0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 wrapText="1"/>
    </xf>
    <xf numFmtId="0" fontId="9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 wrapText="1"/>
    </xf>
    <xf numFmtId="0" fontId="9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 wrapText="1"/>
    </xf>
    <xf numFmtId="0" fontId="9" fillId="8" borderId="2" applyAlignment="1" pivotButton="0" quotePrefix="0" xfId="0">
      <alignment horizontal="left" vertical="center" wrapText="1"/>
    </xf>
    <xf numFmtId="0" fontId="10" fillId="8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center" vertical="bottom"/>
    </xf>
    <xf numFmtId="0" fontId="13" fillId="5" borderId="0" applyAlignment="1" pivotButton="0" quotePrefix="0" xfId="0">
      <alignment horizontal="center" vertical="top"/>
    </xf>
    <xf numFmtId="0" fontId="14" fillId="5" borderId="0" applyAlignment="1" pivotButton="0" quotePrefix="0" xfId="0">
      <alignment horizontal="center" vertical="top"/>
    </xf>
    <xf numFmtId="0" fontId="15" fillId="5" borderId="0" applyAlignment="1" pivotButton="0" quotePrefix="0" xfId="0">
      <alignment horizontal="center" vertical="top"/>
    </xf>
    <xf numFmtId="0" fontId="7" fillId="2" borderId="0" applyAlignment="1" pivotButton="0" quotePrefix="0" xfId="0">
      <alignment horizontal="left" vertical="center" wrapText="1"/>
    </xf>
    <xf numFmtId="0" fontId="16" fillId="9" borderId="0" applyAlignment="1" pivotButton="0" quotePrefix="0" xfId="0">
      <alignment horizontal="left" vertical="center" wrapText="1"/>
    </xf>
    <xf numFmtId="0" fontId="12" fillId="5" borderId="0" applyAlignment="1" pivotButton="0" quotePrefix="0" xfId="0">
      <alignment horizontal="left" vertical="center" wrapText="1"/>
    </xf>
    <xf numFmtId="0" fontId="17" fillId="10" borderId="0" applyAlignment="1" pivotButton="0" quotePrefix="0" xfId="0">
      <alignment horizontal="general" vertical="center"/>
    </xf>
    <xf numFmtId="0" fontId="18" fillId="0" borderId="0" applyAlignment="1" pivotButton="0" quotePrefix="0" xfId="0">
      <alignment horizontal="general" vertical="bottom"/>
    </xf>
    <xf numFmtId="0" fontId="19" fillId="11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center" wrapText="1"/>
    </xf>
    <xf numFmtId="0" fontId="21" fillId="12" borderId="3" applyAlignment="1" pivotButton="0" quotePrefix="0" xfId="0">
      <alignment horizontal="general" vertical="top" wrapText="1"/>
    </xf>
    <xf numFmtId="0" fontId="22" fillId="13" borderId="3" applyAlignment="1" pivotButton="0" quotePrefix="0" xfId="0">
      <alignment horizontal="general" vertical="top" wrapText="1"/>
    </xf>
    <xf numFmtId="0" fontId="22" fillId="0" borderId="3" applyAlignment="1" pivotButton="0" quotePrefix="0" xfId="0">
      <alignment horizontal="general" vertical="top" wrapText="1"/>
    </xf>
    <xf numFmtId="0" fontId="8" fillId="11" borderId="3" applyAlignment="1" pivotButton="0" quotePrefix="0" xfId="0">
      <alignment horizontal="center" vertical="bottom" wrapText="1"/>
    </xf>
    <xf numFmtId="0" fontId="0" fillId="0" borderId="6" pivotButton="0" quotePrefix="0" xfId="0"/>
    <xf numFmtId="0" fontId="23" fillId="0" borderId="3" applyAlignment="1" pivotButton="0" quotePrefix="0" xfId="0">
      <alignment horizontal="general" vertical="top" wrapText="1"/>
    </xf>
    <xf numFmtId="0" fontId="20" fillId="13" borderId="0" applyAlignment="1" pivotButton="0" quotePrefix="0" xfId="0">
      <alignment horizontal="general" vertical="top" wrapText="1"/>
    </xf>
    <xf numFmtId="0" fontId="8" fillId="6" borderId="2" applyAlignment="1" pivotButton="0" quotePrefix="0" xfId="0">
      <alignment horizontal="left" vertical="center"/>
    </xf>
    <xf numFmtId="0" fontId="8" fillId="6" borderId="2" applyAlignment="1" pivotButton="0" quotePrefix="0" xfId="0">
      <alignment horizontal="center" vertical="center"/>
    </xf>
    <xf numFmtId="0" fontId="0" fillId="0" borderId="9" pivotButton="0" quotePrefix="0" xfId="0"/>
    <xf numFmtId="0" fontId="9" fillId="2" borderId="2" applyAlignment="1" pivotButton="0" quotePrefix="0" xfId="0">
      <alignment horizontal="general" vertical="bottom"/>
    </xf>
    <xf numFmtId="0" fontId="10" fillId="2" borderId="2" applyAlignment="1" pivotButton="0" quotePrefix="0" xfId="0">
      <alignment horizontal="left" vertical="center" wrapText="1"/>
    </xf>
    <xf numFmtId="0" fontId="10" fillId="2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general" vertical="bottom"/>
    </xf>
    <xf numFmtId="0" fontId="10" fillId="7" borderId="2" applyAlignment="1" pivotButton="0" quotePrefix="0" xfId="0">
      <alignment horizontal="left" vertical="center" wrapText="1"/>
    </xf>
    <xf numFmtId="0" fontId="10" fillId="7" borderId="2" applyAlignment="1" pivotButton="0" quotePrefix="0" xfId="0">
      <alignment horizontal="center" vertical="center"/>
    </xf>
    <xf numFmtId="0" fontId="24" fillId="1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6" fillId="11" borderId="3" applyAlignment="1" pivotButton="0" quotePrefix="0" xfId="0">
      <alignment horizontal="center" vertical="bottom"/>
    </xf>
    <xf numFmtId="0" fontId="27" fillId="0" borderId="3" applyAlignment="1" pivotButton="0" quotePrefix="0" xfId="0">
      <alignment horizontal="general" vertical="bottom"/>
    </xf>
    <xf numFmtId="3" fontId="28" fillId="0" borderId="3" applyAlignment="1" pivotButton="0" quotePrefix="0" xfId="0">
      <alignment horizontal="center" vertical="bottom"/>
    </xf>
    <xf numFmtId="0" fontId="29" fillId="0" borderId="3" applyAlignment="1" pivotButton="0" quotePrefix="0" xfId="0">
      <alignment horizontal="center" vertical="bottom"/>
    </xf>
    <xf numFmtId="3" fontId="30" fillId="14" borderId="3" applyAlignment="1" pivotButton="0" quotePrefix="0" xfId="0">
      <alignment horizontal="center" vertical="bottom"/>
    </xf>
    <xf numFmtId="0" fontId="31" fillId="0" borderId="3" applyAlignment="1" pivotButton="0" quotePrefix="0" xfId="0">
      <alignment horizontal="center" vertical="bottom"/>
    </xf>
    <xf numFmtId="0" fontId="32" fillId="0" borderId="3" applyAlignment="1" pivotButton="0" quotePrefix="0" xfId="0">
      <alignment horizontal="general" vertical="bottom"/>
    </xf>
    <xf numFmtId="0" fontId="28" fillId="0" borderId="3" applyAlignment="1" pivotButton="0" quotePrefix="0" xfId="0">
      <alignment horizontal="center" vertical="bottom"/>
    </xf>
    <xf numFmtId="164" fontId="28" fillId="0" borderId="3" applyAlignment="1" pivotButton="0" quotePrefix="0" xfId="0">
      <alignment horizontal="center" vertical="bottom"/>
    </xf>
    <xf numFmtId="164" fontId="30" fillId="14" borderId="3" applyAlignment="1" pivotButton="0" quotePrefix="0" xfId="0">
      <alignment horizontal="center" vertical="bottom"/>
    </xf>
    <xf numFmtId="165" fontId="28" fillId="0" borderId="3" applyAlignment="1" pivotButton="0" quotePrefix="0" xfId="0">
      <alignment horizontal="center" vertical="bottom"/>
    </xf>
    <xf numFmtId="165" fontId="30" fillId="14" borderId="3" applyAlignment="1" pivotButton="0" quotePrefix="0" xfId="0">
      <alignment horizontal="center" vertical="bottom"/>
    </xf>
    <xf numFmtId="166" fontId="28" fillId="0" borderId="3" applyAlignment="1" pivotButton="0" quotePrefix="0" xfId="0">
      <alignment horizontal="center" vertical="bottom"/>
    </xf>
    <xf numFmtId="166" fontId="30" fillId="14" borderId="3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3F0EA"/>
      <rgbColor rgb="FF660066"/>
      <rgbColor rgb="FFFF8080"/>
      <rgbColor rgb="FF0066CC"/>
      <rgbColor rgb="FFC9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3F0"/>
      <rgbColor rgb="FFDCE9D5"/>
      <rgbColor rgb="FFFBF3DA"/>
      <rgbColor rgb="FFEAF1FB"/>
      <rgbColor rgb="FFEEF3F4"/>
      <rgbColor rgb="FFF6F9FA"/>
      <rgbColor rgb="FFD7E0E3"/>
      <rgbColor rgb="FF2E75B6"/>
      <rgbColor rgb="FF33CCCC"/>
      <rgbColor rgb="FF99CC00"/>
      <rgbColor rgb="FFFFCC00"/>
      <rgbColor rgb="FFFF9900"/>
      <rgbColor rgb="FFFF6600"/>
      <rgbColor rgb="FF555555"/>
      <rgbColor rgb="FF7A8794"/>
      <rgbColor rgb="FF15323D"/>
      <rgbColor rgb="FF2F8F7F"/>
      <rgbColor rgb="FF111111"/>
      <rgbColor rgb="FF333300"/>
      <rgbColor rgb="FFC0392B"/>
      <rgbColor rgb="FF993366"/>
      <rgbColor rgb="FF1F4E78"/>
      <rgbColor rgb="FF2B36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4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HEYS · Маркетинг-методология</t>
        </is>
      </c>
      <c r="G1" s="61" t="n"/>
    </row>
    <row r="2" ht="18" customHeight="1" s="60">
      <c r="A2" s="61" t="n"/>
      <c r="B2" s="63" t="inlineStr">
        <is>
          <t>Сводная панель · снапшот 2026-06-10 (вечер) · детали в файлах 01–28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СУТЬ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Приложение + живой куратор + протоколы. Продаём заботу и анти-срыв — «вас ведут, а не оставляют с цифрами», а не диету.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ПОЗИЦИОНИРОВАНИЕ</t>
        </is>
      </c>
      <c r="C7" s="65" t="n"/>
      <c r="D7" s="65" t="n"/>
      <c r="E7" s="65" t="n"/>
      <c r="F7" s="65" t="n"/>
      <c r="G7" s="61" t="n"/>
    </row>
    <row r="8" ht="39" customHeight="1" s="60">
      <c r="A8" s="61" t="n"/>
      <c r="B8" s="66" t="inlineStr">
        <is>
          <t>Между DIY-трекерами (нет человека, 0–500 ₽) и нутрициологом 1:1 (25 000+ ₽, нет приложения): ежедневный человек + приложение по доступной цене.</t>
        </is>
      </c>
      <c r="G8" s="61" t="n"/>
    </row>
    <row r="9" ht="6.75" customHeight="1" s="60">
      <c r="A9" s="61" t="n"/>
      <c r="G9" s="61" t="n"/>
    </row>
    <row r="10" ht="19.5" customHeight="1" s="60">
      <c r="A10" s="61" t="n"/>
      <c r="B10" s="64" t="inlineStr">
        <is>
          <t>ТАРИФНАЯ СЕТКА</t>
        </is>
      </c>
      <c r="C10" s="65" t="n"/>
      <c r="D10" s="65" t="n"/>
      <c r="E10" s="65" t="n"/>
      <c r="F10" s="65" t="n"/>
      <c r="G10" s="61" t="n"/>
    </row>
    <row r="11" ht="18" customHeight="1" s="60">
      <c r="A11" s="61" t="n"/>
      <c r="B11" s="67" t="inlineStr">
        <is>
          <t>Тариф</t>
        </is>
      </c>
      <c r="C11" s="68" t="inlineStr">
        <is>
          <t>Цена/мес</t>
        </is>
      </c>
      <c r="D11" s="68" t="inlineStr">
        <is>
          <t>Куратор</t>
        </is>
      </c>
      <c r="E11" s="68" t="inlineStr">
        <is>
          <t>AI</t>
        </is>
      </c>
      <c r="F11" s="68" t="inlineStr">
        <is>
          <t>Удержание</t>
        </is>
      </c>
      <c r="G11" s="61" t="n"/>
    </row>
    <row r="12" ht="16.5" customHeight="1" s="60">
      <c r="A12" s="61" t="n"/>
      <c r="B12" s="69" t="inlineStr">
        <is>
          <t>Self</t>
        </is>
      </c>
      <c r="C12" s="70" t="inlineStr">
        <is>
          <t>490 ₽</t>
        </is>
      </c>
      <c r="D12" s="70" t="inlineStr">
        <is>
          <t>—</t>
        </is>
      </c>
      <c r="E12" s="70" t="inlineStr">
        <is>
          <t>—</t>
        </is>
      </c>
      <c r="F12" s="70" t="inlineStr">
        <is>
          <t>продление вручную</t>
        </is>
      </c>
      <c r="G12" s="61" t="n"/>
    </row>
    <row r="13" ht="16.5" customHeight="1" s="60">
      <c r="A13" s="61" t="n"/>
      <c r="B13" s="71" t="inlineStr">
        <is>
          <t>Pro</t>
        </is>
      </c>
      <c r="C13" s="72" t="inlineStr">
        <is>
          <t>7 990 ₽*</t>
        </is>
      </c>
      <c r="D13" s="72" t="inlineStr">
        <is>
          <t>ежедневно</t>
        </is>
      </c>
      <c r="E13" s="72" t="inlineStr">
        <is>
          <t>нет (ввод руками — фича)</t>
        </is>
      </c>
      <c r="F13" s="72" t="inlineStr">
        <is>
          <t>продление ведёт куратор</t>
        </is>
      </c>
      <c r="G13" s="61" t="n"/>
    </row>
    <row r="14" ht="16.5" customHeight="1" s="60">
      <c r="A14" s="61" t="n"/>
      <c r="B14" s="69" t="inlineStr">
        <is>
          <t>Pro+</t>
        </is>
      </c>
      <c r="C14" s="70" t="inlineStr">
        <is>
          <t>14 990 ₽</t>
        </is>
      </c>
      <c r="D14" s="70" t="inlineStr">
        <is>
          <t>ежедн. +</t>
        </is>
      </c>
      <c r="E14" s="70" t="inlineStr">
        <is>
          <t>нет (ввод руками — фича)</t>
        </is>
      </c>
      <c r="F14" s="70" t="inlineStr">
        <is>
          <t>продление ведёт куратор</t>
        </is>
      </c>
      <c r="G14" s="61" t="n"/>
    </row>
    <row r="15" ht="16.5" customHeight="1" s="60">
      <c r="A15" s="61" t="n"/>
      <c r="B15" s="73" t="inlineStr">
        <is>
          <t>Solo / Lite</t>
        </is>
      </c>
      <c r="C15" s="74" t="inlineStr">
        <is>
          <t>архив</t>
        </is>
      </c>
      <c r="D15" s="74" t="inlineStr">
        <is>
          <t>—</t>
        </is>
      </c>
      <c r="E15" s="74" t="inlineStr">
        <is>
          <t>—</t>
        </is>
      </c>
      <c r="F15" s="74" t="inlineStr">
        <is>
          <t>R&amp;D / вопрос после Ф0</t>
        </is>
      </c>
      <c r="G15" s="61" t="n"/>
    </row>
    <row r="16" ht="16.5" customHeight="1" s="60">
      <c r="A16" s="61" t="n"/>
      <c r="B16" s="73" t="n"/>
      <c r="C16" s="74" t="n"/>
      <c r="D16" s="74" t="n"/>
      <c r="E16" s="74" t="n"/>
      <c r="F16" s="74" t="n"/>
      <c r="G16" s="61" t="n"/>
    </row>
    <row r="17" ht="39" customHeight="1" s="60">
      <c r="A17" s="61" t="n"/>
      <c r="B17" s="75" t="inlineStr">
        <is>
          <t>*Ф0 (основатель), первые 8–12 фиксируются; в Ф1 ~9 900–10 900 ₽. Free — вход (квиз/демо/заявка), не тариф. Удержание: Self — вручную; Pro/Pro+ — продление ведёт куратор.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ЭКОНОМИКА</t>
        </is>
      </c>
      <c r="C19" s="65" t="n"/>
      <c r="D19" s="65" t="n"/>
      <c r="E19" s="65" t="n"/>
      <c r="F19" s="65" t="n"/>
      <c r="G19" s="61" t="n"/>
    </row>
    <row r="20" ht="15" customHeight="1" s="60">
      <c r="A20" s="61" t="n"/>
      <c r="B20" s="76" t="inlineStr">
        <is>
          <t>LTV:CAC базовый</t>
        </is>
      </c>
      <c r="D20" s="76" t="inlineStr">
        <is>
          <t>LTV:CAC реальный</t>
        </is>
      </c>
      <c r="F20" s="76" t="inlineStr">
        <is>
          <t>Цель</t>
        </is>
      </c>
      <c r="G20" s="61" t="n"/>
    </row>
    <row r="21" ht="30" customHeight="1" s="60">
      <c r="A21" s="61" t="n"/>
      <c r="B21" s="77" t="inlineStr">
        <is>
          <t>5,63×</t>
        </is>
      </c>
      <c r="D21" s="78" t="inlineStr">
        <is>
          <t>3,99×</t>
        </is>
      </c>
      <c r="F21" s="79" t="inlineStr">
        <is>
          <t>≥ 3,0×</t>
        </is>
      </c>
      <c r="G21" s="61" t="n"/>
    </row>
    <row r="22" ht="39" customHeight="1" s="60">
      <c r="A22" s="61" t="n"/>
      <c r="B22" s="75" t="inlineStr">
        <is>
          <t>Pro-first микс (Self 20/Pro 65/Pro+ 15): реальный CAC ~10 575 ₽ (триал = время куратора), базовый ~7 500 ₽. Реальный LTV:CAC 3,99× — выше цели. Кэш Ф0 при 15 клиентах ~111 000 ₽/мес. Пересчёт 2026-06-10 (05_Финмодель).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ПРИОРИТЕТЫ СЕЙЧАС (после внедрения Pro-first 2026-06-10)</t>
        </is>
      </c>
      <c r="C24" s="65" t="n"/>
      <c r="D24" s="65" t="n"/>
      <c r="E24" s="65" t="n"/>
      <c r="F24" s="65" t="n"/>
      <c r="G24" s="61" t="n"/>
    </row>
    <row r="25" ht="18" customHeight="1" s="60">
      <c r="A25" s="61" t="n"/>
      <c r="B25" s="80" t="inlineStr">
        <is>
          <t>1.  Включение продаж Self: деплой heys-api-payments (лендинг 490 vs ЮKassa 2 990!), re-consent оферты v1.6, Self-гейтинг функций (~50%). До этого закреп П0 не публиковать.</t>
        </is>
      </c>
      <c r="G25" s="61" t="n"/>
    </row>
    <row r="26" ht="18" customHeight="1" s="60">
      <c r="A26" s="61" t="n"/>
      <c r="B26" s="66" t="inlineStr">
        <is>
          <t>2.  Бот «Твой тип срыва» (17) + контур измеримости (18): без них гейты roadmap 25 слепы.</t>
        </is>
      </c>
      <c r="G26" s="61" t="n"/>
    </row>
    <row r="27" ht="18" customHeight="1" s="60">
      <c r="A27" s="61" t="n"/>
      <c r="B27" s="80" t="inlineStr">
        <is>
          <t>3.  Юрист: договор НПД на результат (22 п.1.3); плейбук 23 вычитать вместе с договором.</t>
        </is>
      </c>
      <c r="G27" s="61" t="n"/>
    </row>
    <row r="28" ht="18" customHeight="1" s="60">
      <c r="A28" s="61" t="n"/>
      <c r="B28" s="66" t="inlineStr">
        <is>
          <t>4.  ERID — назначить ответственного (22 п.1.4) · запустить поиск медэксперта по RFP 27.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КАНАЛЫ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Старт: Яндекс.Директ (горячий интент «как не срываться») + свой Telegram-контент. Далее: Telegram Ads/посевы, VK, РСЯ-ретаргет. Instagram-реклама — НЕТ.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ВОРОНКА — ЦЕЛИ</t>
        </is>
      </c>
      <c r="C33" s="65" t="n"/>
      <c r="D33" s="65" t="n"/>
      <c r="E33" s="65" t="n"/>
      <c r="F33" s="65" t="n"/>
      <c r="G33" s="61" t="n"/>
    </row>
    <row r="34" ht="24" customHeight="1" s="60">
      <c r="A34" s="61" t="n"/>
      <c r="B34" s="66" t="inlineStr">
        <is>
          <t>лид→триал ≥ 40%     триал→оплата ≥ 30%     отток ≤ 8–10%/мес     SLA ≤ 5%     ERID 100%</t>
        </is>
      </c>
      <c r="G34" s="61" t="n"/>
    </row>
    <row r="35" ht="6.75" customHeight="1" s="60">
      <c r="A35" s="61" t="n"/>
      <c r="G35" s="61" t="n"/>
    </row>
    <row r="36" ht="19.5" customHeight="1" s="60">
      <c r="A36" s="61" t="n"/>
      <c r="B36" s="64" t="inlineStr">
        <is>
          <t>ПЛАН 90 ДНЕЙ</t>
        </is>
      </c>
      <c r="C36" s="65" t="n"/>
      <c r="D36" s="65" t="n"/>
      <c r="E36" s="65" t="n"/>
      <c r="F36" s="65" t="n"/>
      <c r="G36" s="61" t="n"/>
    </row>
    <row r="37" ht="39" customHeight="1" s="60">
      <c r="A37" s="61" t="n"/>
      <c r="B37" s="66" t="inlineStr">
        <is>
          <t>Ф1 (0–30): фундамент + ручной тёплый трафик.   Ф2 (31–60): Яндекс.Директ, найти CPL.   Ф3 (61–90): масштаб + Telegram + рефералы.</t>
        </is>
      </c>
      <c r="G37" s="61" t="n"/>
    </row>
    <row r="38" ht="6.75" customHeight="1" s="60">
      <c r="A38" s="61" t="n"/>
      <c r="G38" s="61" t="n"/>
    </row>
    <row r="39" ht="19.5" customHeight="1" s="60">
      <c r="A39" s="61" t="n"/>
      <c r="B39" s="64" t="inlineStr">
        <is>
          <t>ПРАВИЛО РОСТА</t>
        </is>
      </c>
      <c r="C39" s="65" t="n"/>
      <c r="D39" s="65" t="n"/>
      <c r="E39" s="65" t="n"/>
      <c r="F39" s="65" t="n"/>
      <c r="G39" s="61" t="n"/>
    </row>
    <row r="40" ht="39" customHeight="1" s="60">
      <c r="A40" s="61" t="n"/>
      <c r="B40" s="81" t="inlineStr">
        <is>
          <t>Объём маркетинга = ёмкость кураторов, а не размер бюджета. Найм опережает закупку трафика.</t>
        </is>
      </c>
      <c r="G40" s="61" t="n"/>
    </row>
    <row r="41" ht="6.75" customHeight="1" s="60">
      <c r="A41" s="61" t="n"/>
      <c r="G41" s="61" t="n"/>
    </row>
    <row r="42" ht="19.5" customHeight="1" s="60">
      <c r="A42" s="61" t="n"/>
      <c r="B42" s="64" t="inlineStr">
        <is>
          <t>ФАЙЛЫ ПАКЕТА</t>
        </is>
      </c>
      <c r="C42" s="65" t="n"/>
      <c r="D42" s="65" t="n"/>
      <c r="E42" s="65" t="n"/>
      <c r="F42" s="65" t="n"/>
      <c r="G42" s="61" t="n"/>
    </row>
    <row r="43" ht="54" customHeight="1" s="60">
      <c r="A43" s="61" t="n"/>
      <c r="B43" s="82" t="inlineStr">
        <is>
          <t>00 панель · 01 рынок · 02 SWOT · 03 каналы · 04 план · 05 финмодель · 06/12/16 конкурентка (навигатор — 26) · 07 креативы · 08 воронка · 09 кураторы · 10 слепые зоны · 11 фазы цены · 13 AI · 14 Telegram · 15 ревизия (истина) · 17 бот · 18 измеримость · 19 Pro-first · 20 AI-MVP · 21 данные&gt;AI · 22 план реализации · 23 плейбук · 24 посты · 25 roadmap Ф0→Ф1 · 27 RFP медэксперта · 28 post-mortem</t>
        </is>
      </c>
      <c r="G43" s="61" t="n"/>
    </row>
    <row r="44" ht="15" customHeight="1" s="60">
      <c r="A44" s="61" t="n"/>
      <c r="G44" s="61" t="n"/>
    </row>
  </sheetData>
  <mergeCells count="29">
    <mergeCell ref="B4:F4"/>
    <mergeCell ref="D20:E20"/>
    <mergeCell ref="B7:F7"/>
    <mergeCell ref="B25:F25"/>
    <mergeCell ref="B31:F31"/>
    <mergeCell ref="B22:F22"/>
    <mergeCell ref="B27:F27"/>
    <mergeCell ref="D21:E21"/>
    <mergeCell ref="B43:F43"/>
    <mergeCell ref="B21:C21"/>
    <mergeCell ref="B39:F39"/>
    <mergeCell ref="B2:F2"/>
    <mergeCell ref="B42:F42"/>
    <mergeCell ref="B1:F1"/>
    <mergeCell ref="B8:F8"/>
    <mergeCell ref="B17:F17"/>
    <mergeCell ref="B34:F34"/>
    <mergeCell ref="B10:F10"/>
    <mergeCell ref="B28:F28"/>
    <mergeCell ref="B19:F19"/>
    <mergeCell ref="B37:F37"/>
    <mergeCell ref="B40:F40"/>
    <mergeCell ref="B30:F30"/>
    <mergeCell ref="B24:F24"/>
    <mergeCell ref="B33:F33"/>
    <mergeCell ref="B20:C20"/>
    <mergeCell ref="B5:F5"/>
    <mergeCell ref="B36:F3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59" min="1" max="1"/>
    <col width="18" customWidth="1" style="59" min="2" max="2"/>
    <col width="17" customWidth="1" style="59" min="3" max="3"/>
    <col width="16" customWidth="1" style="59" min="4" max="4"/>
    <col width="15" customWidth="1" style="59" min="5" max="6"/>
  </cols>
  <sheetData>
    <row r="1" ht="25.5" customHeight="1" s="60">
      <c r="A1" s="83" t="inlineStr">
        <is>
          <t>Конкуренты · CalZen и др. · что перенять</t>
        </is>
      </c>
    </row>
    <row r="2" ht="15" customHeight="1" s="60">
      <c r="A2" s="84" t="inlineStr">
        <is>
          <t>Снапшот 2026-06-10 · детали в 12_Конкуренты_сводная_таблица.md (навигатор — 26)</t>
        </is>
      </c>
    </row>
    <row r="3" ht="15" customHeight="1" s="60"/>
    <row r="4" ht="15.75" customHeight="1" s="60">
      <c r="A4" s="85" t="inlineStr">
        <is>
          <t>CALZEN — КОРОТКО</t>
        </is>
      </c>
    </row>
    <row r="5" ht="45" customHeight="1" s="60">
      <c r="A5" s="86" t="inlineStr">
        <is>
          <t>AI-счётчик калорий по фото (3 сек, без весов). ~$10/мес фрименим. 3 млн+ польз., 4.8★. Натив iOS/Android. Сила: скорость ввода + доказательная база. Слабость: НЕТ живого человека (их же стат: 80% бросают трекер в 1-ю неделю).</t>
        </is>
      </c>
    </row>
    <row r="6" ht="15" customHeight="1" s="60"/>
    <row r="7" ht="15" customHeight="1" s="60"/>
    <row r="8" ht="15.75" customHeight="1" s="60">
      <c r="A8" s="85" t="inlineStr">
        <is>
          <t>СВОДНАЯ ТАБЛИЦА</t>
        </is>
      </c>
    </row>
    <row r="9" ht="15" customHeight="1" s="60">
      <c r="A9" s="87" t="inlineStr">
        <is>
          <t>Критерий</t>
        </is>
      </c>
      <c r="B9" s="87" t="inlineStr">
        <is>
          <t>HEYS</t>
        </is>
      </c>
      <c r="C9" s="87" t="inlineStr">
        <is>
          <t>CalZen</t>
        </is>
      </c>
      <c r="D9" s="87" t="inlineStr">
        <is>
          <t>Трекеры</t>
        </is>
      </c>
      <c r="E9" s="87" t="inlineStr">
        <is>
          <t>Марафоны</t>
        </is>
      </c>
      <c r="F9" s="87" t="inlineStr">
        <is>
          <t>Нутрициолог 1:1</t>
        </is>
      </c>
    </row>
    <row r="10" ht="25.5" customHeight="1" s="60">
      <c r="A10" s="88" t="inlineStr">
        <is>
          <t>Суть</t>
        </is>
      </c>
      <c r="B10" s="89" t="inlineStr">
        <is>
          <t>Прил.+куратор</t>
        </is>
      </c>
      <c r="C10" s="90" t="inlineStr">
        <is>
          <t>AI-трекер фото</t>
        </is>
      </c>
      <c r="D10" s="90" t="inlineStr">
        <is>
          <t>Ручной КБЖУ</t>
        </is>
      </c>
      <c r="E10" s="90" t="inlineStr">
        <is>
          <t>Курс-поток</t>
        </is>
      </c>
      <c r="F10" s="90" t="inlineStr">
        <is>
          <t>Консультации</t>
        </is>
      </c>
    </row>
    <row r="11" ht="25.5" customHeight="1" s="60">
      <c r="A11" s="88" t="inlineStr">
        <is>
          <t>Цена/мес</t>
        </is>
      </c>
      <c r="B11" s="89" t="inlineStr">
        <is>
          <t>Self 490 / Pro 7 990* / Pro+ 14 990 ₽</t>
        </is>
      </c>
      <c r="C11" s="90" t="inlineStr">
        <is>
          <t>~900 ₽</t>
        </is>
      </c>
      <c r="D11" s="90" t="inlineStr">
        <is>
          <t>0–500 ₽</t>
        </is>
      </c>
      <c r="E11" s="90" t="inlineStr">
        <is>
          <t>1,5–7 тыс/поток</t>
        </is>
      </c>
      <c r="F11" s="90" t="inlineStr">
        <is>
          <t>25–50 тыс+</t>
        </is>
      </c>
    </row>
    <row r="12" ht="25.5" customHeight="1" s="60">
      <c r="A12" s="88" t="inlineStr">
        <is>
          <t>Ввод еды</t>
        </is>
      </c>
      <c r="B12" s="89" t="inlineStr">
        <is>
          <t>Фото→куратор вручную</t>
        </is>
      </c>
      <c r="C12" s="90" t="inlineStr">
        <is>
          <t>Фото→AI 3 сек</t>
        </is>
      </c>
      <c r="D12" s="90" t="inlineStr">
        <is>
          <t>Вручную</t>
        </is>
      </c>
      <c r="E12" s="90" t="inlineStr">
        <is>
          <t>Меню в чате</t>
        </is>
      </c>
      <c r="F12" s="90" t="inlineStr">
        <is>
          <t>Вручную</t>
        </is>
      </c>
    </row>
    <row r="13" ht="25.5" customHeight="1" s="60">
      <c r="A13" s="88" t="inlineStr">
        <is>
          <t>Живой человек</t>
        </is>
      </c>
      <c r="B13" s="89" t="inlineStr">
        <is>
          <t>Да, ежедневно</t>
        </is>
      </c>
      <c r="C13" s="90" t="inlineStr">
        <is>
          <t>Нет</t>
        </is>
      </c>
      <c r="D13" s="90" t="inlineStr">
        <is>
          <t>Нет</t>
        </is>
      </c>
      <c r="E13" s="90" t="inlineStr">
        <is>
          <t>На поток</t>
        </is>
      </c>
      <c r="F13" s="90" t="inlineStr">
        <is>
          <t>Эпизодически</t>
        </is>
      </c>
    </row>
    <row r="14" ht="25.5" customHeight="1" s="60">
      <c r="A14" s="88" t="inlineStr">
        <is>
          <t>Анти-срыв</t>
        </is>
      </c>
      <c r="B14" s="89" t="inlineStr">
        <is>
          <t>Да</t>
        </is>
      </c>
      <c r="C14" s="90" t="inlineStr">
        <is>
          <t>Нет</t>
        </is>
      </c>
      <c r="D14" s="90" t="inlineStr">
        <is>
          <t>Нет</t>
        </is>
      </c>
      <c r="E14" s="90" t="inlineStr">
        <is>
          <t>Слабо</t>
        </is>
      </c>
      <c r="F14" s="90" t="inlineStr">
        <is>
          <t>Нет</t>
        </is>
      </c>
    </row>
    <row r="15" ht="25.5" customHeight="1" s="60">
      <c r="A15" s="88" t="inlineStr">
        <is>
          <t>Платформа</t>
        </is>
      </c>
      <c r="B15" s="89" t="inlineStr">
        <is>
          <t>PWA</t>
        </is>
      </c>
      <c r="C15" s="90" t="inlineStr">
        <is>
          <t>iOS/Android</t>
        </is>
      </c>
      <c r="D15" s="90" t="inlineStr">
        <is>
          <t>Натив</t>
        </is>
      </c>
      <c r="E15" s="90" t="inlineStr">
        <is>
          <t>Telegram</t>
        </is>
      </c>
      <c r="F15" s="90" t="inlineStr">
        <is>
          <t>—</t>
        </is>
      </c>
    </row>
    <row r="16" ht="25.5" customHeight="1" s="60">
      <c r="A16" s="88" t="inlineStr">
        <is>
          <t>Пруф / масштаб</t>
        </is>
      </c>
      <c r="B16" s="89" t="inlineStr">
        <is>
          <t>Старт</t>
        </is>
      </c>
      <c r="C16" s="90" t="inlineStr">
        <is>
          <t>3М, 4.8★</t>
        </is>
      </c>
      <c r="D16" s="90" t="inlineStr">
        <is>
          <t>Большой</t>
        </is>
      </c>
      <c r="E16" s="90" t="inlineStr">
        <is>
          <t>Отзывы</t>
        </is>
      </c>
      <c r="F16" s="90" t="inlineStr">
        <is>
          <t>Сарафан</t>
        </is>
      </c>
    </row>
    <row r="17" ht="25.5" customHeight="1" s="60">
      <c r="A17" s="88" t="inlineStr">
        <is>
          <t>Данные в РФ (152-ФЗ)</t>
        </is>
      </c>
      <c r="B17" s="89" t="inlineStr">
        <is>
          <t>Да</t>
        </is>
      </c>
      <c r="C17" s="90" t="inlineStr">
        <is>
          <t>Нет</t>
        </is>
      </c>
      <c r="D17" s="90" t="inlineStr">
        <is>
          <t>Нет</t>
        </is>
      </c>
      <c r="E17" s="90" t="inlineStr">
        <is>
          <t>Разное</t>
        </is>
      </c>
      <c r="F17" s="90" t="inlineStr">
        <is>
          <t>Да</t>
        </is>
      </c>
    </row>
    <row r="18" ht="25.5" customHeight="1" s="60">
      <c r="A18" s="88" t="inlineStr">
        <is>
          <t>Главная сила</t>
        </is>
      </c>
      <c r="B18" s="89" t="inlineStr">
        <is>
          <t>Человек+анти-срыв</t>
        </is>
      </c>
      <c r="C18" s="90" t="inlineStr">
        <is>
          <t>Скорость+пруф</t>
        </is>
      </c>
      <c r="D18" s="90" t="inlineStr">
        <is>
          <t>Бесплатно</t>
        </is>
      </c>
      <c r="E18" s="90" t="inlineStr">
        <is>
          <t>Дёшево</t>
        </is>
      </c>
      <c r="F18" s="90" t="inlineStr">
        <is>
          <t>Глубина 1:1</t>
        </is>
      </c>
    </row>
    <row r="19" ht="25.5" customHeight="1" s="60">
      <c r="A19" s="88" t="inlineStr">
        <is>
          <t>Главная слабость</t>
        </is>
      </c>
      <c r="B19" s="89" t="inlineStr">
        <is>
          <t>Ввод вручную</t>
        </is>
      </c>
      <c r="C19" s="90" t="inlineStr">
        <is>
          <t>Нет человека</t>
        </is>
      </c>
      <c r="D19" s="90" t="inlineStr">
        <is>
          <t>Бросают</t>
        </is>
      </c>
      <c r="E19" s="90" t="inlineStr">
        <is>
          <t>Отток</t>
        </is>
      </c>
      <c r="F19" s="90" t="inlineStr">
        <is>
          <t>Дорого</t>
        </is>
      </c>
    </row>
    <row r="20" ht="15" customHeight="1" s="60"/>
    <row r="21" ht="15.75" customHeight="1" s="60">
      <c r="A21" s="85" t="inlineStr">
        <is>
          <t>ЛЕНДИНГИ: CALZEN vs НАШ (отдельная категория)</t>
        </is>
      </c>
    </row>
    <row r="22" ht="15" customHeight="1" s="60">
      <c r="A22" s="91" t="inlineStr">
        <is>
          <t>Блок</t>
        </is>
      </c>
      <c r="B22" s="91" t="inlineStr">
        <is>
          <t>CalZen</t>
        </is>
      </c>
      <c r="C22" s="92" t="n"/>
      <c r="D22" s="91" t="inlineStr">
        <is>
          <t>Наш</t>
        </is>
      </c>
      <c r="E22" s="91" t="inlineStr">
        <is>
          <t>Что перенять</t>
        </is>
      </c>
      <c r="F22" s="92" t="n"/>
    </row>
    <row r="23" ht="27.75" customHeight="1" s="60">
      <c r="A23" s="88" t="inlineStr">
        <is>
          <t>Hero / посыл</t>
        </is>
      </c>
      <c r="B23" s="90" t="inlineStr">
        <is>
          <t>Outcome + боль угадывания</t>
        </is>
      </c>
      <c r="C23" s="92" t="n"/>
      <c r="D23" s="90" t="inlineStr">
        <is>
          <t>Эмпатия, «без насилия»</t>
        </is>
      </c>
      <c r="E23" s="93" t="inlineStr">
        <is>
          <t>Усилить измеримость обещания</t>
        </is>
      </c>
      <c r="F23" s="92" t="n"/>
    </row>
    <row r="24" ht="27.75" customHeight="1" s="60">
      <c r="A24" s="88" t="inlineStr">
        <is>
          <t>Пруф над сгибом</t>
        </is>
      </c>
      <c r="B24" s="90" t="inlineStr">
        <is>
          <t>4.8★ / 3 млн / бэйджи — сразу</t>
        </is>
      </c>
      <c r="C24" s="92" t="n"/>
      <c r="D24" s="90" t="inlineStr">
        <is>
          <t>Отзывы ниже по странице</t>
        </is>
      </c>
      <c r="E24" s="93" t="inlineStr">
        <is>
          <t>Поднять пруф выше</t>
        </is>
      </c>
      <c r="F24" s="92" t="n"/>
    </row>
    <row r="25" ht="27.75" customHeight="1" s="60">
      <c r="A25" s="88" t="inlineStr">
        <is>
          <t>Как работает</t>
        </is>
      </c>
      <c r="B25" s="90" t="inlineStr">
        <is>
          <t>3 шага + тайминги + стат «80% бросают»</t>
        </is>
      </c>
      <c r="C25" s="92" t="n"/>
      <c r="D25" s="90" t="inlineStr">
        <is>
          <t>3 шага без цифр</t>
        </is>
      </c>
      <c r="E25" s="93" t="inlineStr">
        <is>
          <t>Тайминги + перевернуть стат в свою пользу</t>
        </is>
      </c>
      <c r="F25" s="92" t="n"/>
    </row>
    <row r="26" ht="27.75" customHeight="1" s="60">
      <c r="A26" s="88" t="inlineStr">
        <is>
          <t>Демо продукта</t>
        </is>
      </c>
      <c r="B26" s="90" t="inlineStr">
        <is>
          <t>Богатые мокапы UI</t>
        </is>
      </c>
      <c r="C26" s="92" t="n"/>
      <c r="D26" s="90" t="inlineStr">
        <is>
          <t>Скромно, «пара экранов»</t>
        </is>
      </c>
      <c r="E26" s="93" t="inlineStr">
        <is>
          <t>Показать «фото→куратор внёс»</t>
        </is>
      </c>
      <c r="F26" s="92" t="n"/>
    </row>
    <row r="27" ht="27.75" customHeight="1" s="60">
      <c r="A27" s="88" t="inlineStr">
        <is>
          <t>Доверие / цитаты</t>
        </is>
      </c>
      <c r="B27" s="90" t="inlineStr">
        <is>
          <t>Научные ссылки, «90%»</t>
        </is>
      </c>
      <c r="C27" s="92" t="n"/>
      <c r="D27" s="90" t="inlineStr">
        <is>
          <t>«Не медуслуга», 152-ФЗ</t>
        </is>
      </c>
      <c r="E27" s="93" t="inlineStr">
        <is>
          <t>+ медэксперт и методология (CRS/41 паттерн)</t>
        </is>
      </c>
      <c r="F27" s="92" t="n"/>
    </row>
    <row r="28" ht="27.75" customHeight="1" s="60">
      <c r="A28" s="88" t="inlineStr">
        <is>
          <t>CTA / трение</t>
        </is>
      </c>
      <c r="B28" s="90" t="inlineStr">
        <is>
          <t>Скачать, 3 дня, мгновенно</t>
        </is>
      </c>
      <c r="C28" s="92" t="n"/>
      <c r="D28" s="90" t="inlineStr">
        <is>
          <t>7 дней, без карты, по записи</t>
        </is>
      </c>
      <c r="E28" s="93" t="inlineStr">
        <is>
          <t>Оставить (премиум); risk-reversal к тарифам</t>
        </is>
      </c>
      <c r="F28" s="92" t="n"/>
    </row>
    <row r="29" ht="27.75" customHeight="1" s="60">
      <c r="A29" s="88" t="inlineStr">
        <is>
          <t>SEO-актив</t>
        </is>
      </c>
      <c r="B29" s="90" t="inlineStr">
        <is>
          <t>Калькуляторы TDEE/BMI</t>
        </is>
      </c>
      <c r="C29" s="92" t="n"/>
      <c r="D29" s="90" t="inlineStr">
        <is>
          <t>Нет</t>
        </is>
      </c>
      <c r="E29" s="93" t="inlineStr">
        <is>
          <t>Сделать калькуляторы</t>
        </is>
      </c>
      <c r="F29" s="92" t="n"/>
    </row>
    <row r="30" ht="27.75" customHeight="1" s="60">
      <c r="A30" s="88" t="inlineStr">
        <is>
          <t>Платформа-пруф</t>
        </is>
      </c>
      <c r="B30" s="90" t="inlineStr">
        <is>
          <t>Бэйджи сторов + рейтинги</t>
        </is>
      </c>
      <c r="C30" s="92" t="n"/>
      <c r="D30" s="90" t="inlineStr">
        <is>
          <t>PWA — нет</t>
        </is>
      </c>
      <c r="E30" s="93" t="inlineStr">
        <is>
          <t>RuStore / нативное приложение</t>
        </is>
      </c>
      <c r="F30" s="92" t="n"/>
    </row>
    <row r="31" ht="15" customHeight="1" s="60"/>
    <row r="32" ht="15.75" customHeight="1" s="60">
      <c r="A32" s="85" t="inlineStr">
        <is>
          <t>ТОП-5 ЧТО ПЕРЕНЯТЬ В ПРОДУКТ</t>
        </is>
      </c>
    </row>
    <row r="33" ht="30" customHeight="1" s="60">
      <c r="A33" s="86" t="inlineStr">
        <is>
          <t>1. Пруф-инфраструктура для лендинга: реальные рейтинги/отзывы, лица специалистов, методология, научные ссылки, процессные кейсы. [РЕЛИЗ]</t>
        </is>
      </c>
    </row>
    <row r="34" ht="15" customHeight="1" s="60"/>
    <row r="35" ht="30" customHeight="1" s="60">
      <c r="A35" s="86" t="inlineStr">
        <is>
          <t>2. SEO-калькуляторы после релиза: TDEE, BMI, дефицит, калории блюд — бесплатный верх воронки. [ПОСЛЕ РЕЛИЗА]</t>
        </is>
      </c>
    </row>
    <row r="36" ht="15" customHeight="1" s="60"/>
    <row r="37" ht="30" customHeight="1" s="60">
      <c r="A37" s="86" t="inlineStr">
        <is>
          <t>3. AI-ввод еды по фото / штрихкоду — отдельный R&amp;D после релиза; не обещание Pro-Ф0. [ПОСЛЕ РЕЛИЗА]</t>
        </is>
      </c>
    </row>
    <row r="38" ht="15" customHeight="1" s="60"/>
    <row r="39" ht="30" customHeight="1" s="60">
      <c r="A39" s="86" t="inlineStr">
        <is>
          <t>4. Нативное приложение / RuStore — сторовые рейтинги, бейджи и доверие; после первых данных. [ПОСЛЕ РЕЛИЗА]</t>
        </is>
      </c>
    </row>
    <row r="40" ht="15" customHeight="1" s="60"/>
    <row r="41" ht="30" customHeight="1" s="60">
      <c r="A41" s="86" t="n"/>
    </row>
    <row r="42" ht="15" customHeight="1" s="60"/>
    <row r="43" ht="15.75" customHeight="1" s="60">
      <c r="A43" s="85" t="inlineStr">
        <is>
          <t>ЧЕГО НЕ КОПИРОВАТЬ</t>
        </is>
      </c>
    </row>
    <row r="44" ht="30" customHeight="1" s="60">
      <c r="A44" s="94" t="inlineStr">
        <is>
          <t>Масс-маркет тон, эмодзи-стиль, обещания «−N кг», чистый self-serve без человека. Наш ров — живой человек; AI-ввод берём, чтобы куратор был эффективнее, а не чтобы его убрать.</t>
        </is>
      </c>
    </row>
    <row r="45" ht="15" customHeight="1" s="60"/>
    <row r="46">
      <c r="A46" s="59" t="inlineStr">
        <is>
          <t>ГЛУБОКИЙ АУДИТ 2026-06-10 (детали — 29_Аудит_конкурентов_глубокий.md)</t>
        </is>
      </c>
    </row>
    <row r="47">
      <c r="A47" s="59" t="inlineStr">
        <is>
          <t>Слот «живой человек ЕЖЕДНЕВНО + персонально + КБЖУ-дневник» — ПУСТ глобально и в РФ. HEYS Pro 7 990 ₽ = треть Sekta-куратора, четверть частного нутрициолога.</t>
        </is>
      </c>
    </row>
    <row r="49">
      <c r="A49" s="59" t="inlineStr">
        <is>
          <t>КАРТА «ЖИВОЙ ЧЕЛОВЕК» (приложения)</t>
        </is>
      </c>
    </row>
    <row r="50">
      <c r="A50" s="59" t="inlineStr">
        <is>
          <t>Игрок</t>
        </is>
      </c>
      <c r="B50" s="59" t="inlineStr">
        <is>
          <t>Человек</t>
        </is>
      </c>
      <c r="C50" s="59" t="inlineStr">
        <is>
          <t>Частота</t>
        </is>
      </c>
      <c r="D50" s="59" t="inlineStr">
        <is>
          <t>Цена/мес</t>
        </is>
      </c>
      <c r="E50" s="59" t="inlineStr">
        <is>
          <t>РФ-оплата</t>
        </is>
      </c>
    </row>
    <row r="51">
      <c r="A51" s="59" t="inlineStr">
        <is>
          <t>HEYS Pro</t>
        </is>
      </c>
      <c r="B51" s="59" t="inlineStr">
        <is>
          <t>куратор, персонально</t>
        </is>
      </c>
      <c r="C51" s="59" t="inlineStr">
        <is>
          <t>ежедневно 7/7</t>
        </is>
      </c>
      <c r="D51" s="59" t="inlineStr">
        <is>
          <t>7 990 ₽</t>
        </is>
      </c>
      <c r="E51" s="59" t="inlineStr">
        <is>
          <t>да</t>
        </is>
      </c>
    </row>
    <row r="52">
      <c r="A52" s="59" t="inlineStr">
        <is>
          <t>Dietology.live</t>
        </is>
      </c>
      <c r="B52" s="59" t="inlineStr">
        <is>
          <t>нутрициолог</t>
        </is>
      </c>
      <c r="C52" s="59" t="inlineStr">
        <is>
          <t>заявлено ежедневно, без КБЖУ</t>
        </is>
      </c>
      <c r="D52" s="59" t="inlineStr">
        <is>
          <t>скрыта (~23–35К)</t>
        </is>
      </c>
      <c r="E52" s="59" t="inlineStr">
        <is>
          <t>да</t>
        </is>
      </c>
    </row>
    <row r="53">
      <c r="A53" s="59" t="inlineStr">
        <is>
          <t>Sekta (куратор)</t>
        </is>
      </c>
      <c r="B53" s="59" t="inlineStr">
        <is>
          <t>выпускник курсов</t>
        </is>
      </c>
      <c r="C53" s="59" t="inlineStr">
        <is>
          <t>будни по графику, сб — нет</t>
        </is>
      </c>
      <c r="D53" s="59" t="inlineStr">
        <is>
          <t>19 600–21 000 ₽</t>
        </is>
      </c>
      <c r="E53" s="59" t="inlineStr">
        <is>
          <t>да</t>
        </is>
      </c>
    </row>
    <row r="54">
      <c r="A54" s="59" t="inlineStr">
        <is>
          <t>Second Nature (UK)</t>
        </is>
      </c>
      <c r="B54" s="59" t="inlineStr">
        <is>
          <t>диетолог HCPC</t>
        </is>
      </c>
      <c r="C54" s="59" t="inlineStr">
        <is>
          <t>5/7, программа 12 нед</t>
        </is>
      </c>
      <c r="D54" s="59" t="inlineStr">
        <is>
          <t>~£33–40</t>
        </is>
      </c>
      <c r="E54" s="59" t="inlineStr">
        <is>
          <t>нет</t>
        </is>
      </c>
    </row>
    <row r="55">
      <c r="A55" s="59" t="inlineStr">
        <is>
          <t>Noom</t>
        </is>
      </c>
      <c r="B55" s="59" t="inlineStr">
        <is>
          <t>коуч «для галочки»</t>
        </is>
      </c>
      <c r="C55" s="59" t="inlineStr">
        <is>
          <t>не ежедневно, шаблонно</t>
        </is>
      </c>
      <c r="D55" s="59" t="inlineStr">
        <is>
          <t>~$17/мес год-экв</t>
        </is>
      </c>
      <c r="E55" s="59" t="inlineStr">
        <is>
          <t>нет</t>
        </is>
      </c>
    </row>
    <row r="56">
      <c r="A56" s="59" t="inlineStr">
        <is>
          <t>Simple / трекеры / боты</t>
        </is>
      </c>
      <c r="B56" s="59" t="inlineStr">
        <is>
          <t>нет (AI/—)</t>
        </is>
      </c>
      <c r="C56" s="59" t="inlineStr">
        <is>
          <t>—</t>
        </is>
      </c>
      <c r="D56" s="59" t="inlineStr">
        <is>
          <t>200–1 300 ₽</t>
        </is>
      </c>
      <c r="E56" s="59" t="inlineStr">
        <is>
          <t>частично</t>
        </is>
      </c>
    </row>
    <row r="58">
      <c r="A58" s="59" t="inlineStr">
        <is>
          <t>ЦЕНОВАЯ ЛЕСТНИЦА РЫНКА, ₽/мес</t>
        </is>
      </c>
    </row>
    <row r="59">
      <c r="A59" s="59" t="inlineStr">
        <is>
          <t>TG-боты 200–500 · трекеры RU 300–800 · западные 700–1 300 (оплата сломана) · марафоны 3 000–7 500 · Борменталь ~4 000+ (рассрочка) · Sekta 19 600–30 000 · частный нутрициолог 23 000–35 000. Вакуум 8–19К — наш Pro.</t>
        </is>
      </c>
    </row>
    <row r="61">
      <c r="A61" s="59" t="inlineStr">
        <is>
          <t>ЛЕНДИНГИ: 5 ПАТТЕРНОВ ЛИДЕРОВ</t>
        </is>
      </c>
    </row>
    <row r="62">
      <c r="A62" s="59" t="inlineStr">
        <is>
          <t>1. Цифровой пруф над сгибом (рейтинг+масштаб+аватары) — у нас отзывы ниже сгиба.</t>
        </is>
      </c>
    </row>
    <row r="63">
      <c r="A63" s="59" t="inlineStr">
        <is>
          <t>2. Цена на главной скрыта почти у всех (кроме Sekta/марафонов) — наша открытая цена = отстройка.</t>
        </is>
      </c>
    </row>
    <row r="64">
      <c r="A64" s="59" t="inlineStr">
        <is>
          <t>3. Quiz-funnel — стандарт высокочековых (Simple/Noom/Sekta-тест).</t>
        </is>
      </c>
    </row>
    <row r="65">
      <c r="A65" s="59" t="inlineStr">
        <is>
          <t>4. Кейсы «кг+срок+лицо»; наш канон без «-N кг» → нужны процессные кейсы (дни без срывов, % дневника).</t>
        </is>
      </c>
    </row>
    <row r="66">
      <c r="A66" s="59" t="inlineStr">
        <is>
          <t>5. Вес пруфа растёт с чеком: инфлюенсеры → пресса → институции/наука (NHS, JAMA). Для 7 990 ₽ нужен тяжёлый пруф → медэксперт (27).</t>
        </is>
      </c>
    </row>
  </sheetData>
  <mergeCells count="32">
    <mergeCell ref="B25:C25"/>
    <mergeCell ref="E24:F24"/>
    <mergeCell ref="A44:F45"/>
    <mergeCell ref="A35:F36"/>
    <mergeCell ref="B22:C22"/>
    <mergeCell ref="E23:F23"/>
    <mergeCell ref="B27:C27"/>
    <mergeCell ref="A21:F21"/>
    <mergeCell ref="A39:F40"/>
    <mergeCell ref="A2:F2"/>
    <mergeCell ref="E29:F29"/>
    <mergeCell ref="A32:F32"/>
    <mergeCell ref="A8:F8"/>
    <mergeCell ref="B23:C23"/>
    <mergeCell ref="E28:F28"/>
    <mergeCell ref="A4:F4"/>
    <mergeCell ref="A43:F43"/>
    <mergeCell ref="A41:F42"/>
    <mergeCell ref="A5:F7"/>
    <mergeCell ref="E30:F30"/>
    <mergeCell ref="B29:C29"/>
    <mergeCell ref="B28:C28"/>
    <mergeCell ref="E27:F27"/>
    <mergeCell ref="E26:F26"/>
    <mergeCell ref="A37:F38"/>
    <mergeCell ref="B24:C24"/>
    <mergeCell ref="B30:C30"/>
    <mergeCell ref="E25:F25"/>
    <mergeCell ref="A1:F1"/>
    <mergeCell ref="E22:F22"/>
    <mergeCell ref="B26:C26"/>
    <mergeCell ref="A33:F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.5" customWidth="1" style="59" min="1" max="1"/>
    <col width="27" customWidth="1" style="59" min="2" max="2"/>
    <col width="17" customWidth="1" style="59" min="3" max="6"/>
    <col width="2.5" customWidth="1" style="59" min="7" max="7"/>
  </cols>
  <sheetData>
    <row r="1" ht="33.75" customHeight="1" s="60">
      <c r="A1" s="61" t="n"/>
      <c r="B1" s="62" t="inlineStr">
        <is>
          <t>Telegram · продвижение и ведение</t>
        </is>
      </c>
      <c r="G1" s="61" t="n"/>
    </row>
    <row r="2" ht="18" customHeight="1" s="60">
      <c r="A2" s="61" t="n"/>
      <c r="B2" s="63" t="inlineStr">
        <is>
          <t>Краткий план. Полный how-to — 14_Telegram_плейбук.md</t>
        </is>
      </c>
      <c r="G2" s="61" t="n"/>
    </row>
    <row r="3" ht="6.75" customHeight="1" s="60">
      <c r="A3" s="61" t="n"/>
      <c r="G3" s="61" t="n"/>
    </row>
    <row r="4" ht="19.5" customHeight="1" s="60">
      <c r="A4" s="61" t="n"/>
      <c r="B4" s="64" t="inlineStr">
        <is>
          <t>РОЛЬ</t>
        </is>
      </c>
      <c r="C4" s="65" t="n"/>
      <c r="D4" s="65" t="n"/>
      <c r="E4" s="65" t="n"/>
      <c r="F4" s="65" t="n"/>
      <c r="G4" s="61" t="n"/>
    </row>
    <row r="5" ht="39" customHeight="1" s="60">
      <c r="A5" s="61" t="n"/>
      <c r="B5" s="66" t="inlineStr">
        <is>
          <t>Главный канал РФ (~40% инфлюенс-рынка). Связка: канал (прогрев) → бот-магнит → заявка на неделю → куратор. 35–40% каналов накручены → проверять TGStat.</t>
        </is>
      </c>
      <c r="G5" s="61" t="n"/>
    </row>
    <row r="6" ht="6.75" customHeight="1" s="60">
      <c r="A6" s="61" t="n"/>
      <c r="G6" s="61" t="n"/>
    </row>
    <row r="7" ht="19.5" customHeight="1" s="60">
      <c r="A7" s="61" t="n"/>
      <c r="B7" s="64" t="inlineStr">
        <is>
          <t>РУБРИКИ (повторяемый каркас)</t>
        </is>
      </c>
      <c r="C7" s="65" t="n"/>
      <c r="D7" s="65" t="n"/>
      <c r="E7" s="65" t="n"/>
      <c r="F7" s="65" t="n"/>
      <c r="G7" s="61" t="n"/>
    </row>
    <row r="8" ht="18" customHeight="1" s="60">
      <c r="A8" s="61" t="n"/>
      <c r="B8" s="95" t="inlineStr">
        <is>
          <t>Рубрика</t>
        </is>
      </c>
      <c r="C8" s="96" t="inlineStr">
        <is>
          <t>Цель</t>
        </is>
      </c>
      <c r="D8" s="97" t="n"/>
      <c r="E8" s="96" t="inlineStr">
        <is>
          <t>Частота</t>
        </is>
      </c>
      <c r="F8" s="97" t="n"/>
      <c r="G8" s="61" t="n"/>
    </row>
    <row r="9" ht="15.75" customHeight="1" s="60">
      <c r="A9" s="61" t="n"/>
      <c r="B9" s="98" t="inlineStr">
        <is>
          <t>Механика срывов</t>
        </is>
      </c>
      <c r="C9" s="99" t="inlineStr">
        <is>
          <t>Захват боли (верх)</t>
        </is>
      </c>
      <c r="D9" s="97" t="n"/>
      <c r="E9" s="100" t="inlineStr">
        <is>
          <t>1/нед</t>
        </is>
      </c>
      <c r="F9" s="97" t="n"/>
      <c r="G9" s="61" t="n"/>
    </row>
    <row r="10" ht="15.75" customHeight="1" s="60">
      <c r="A10" s="61" t="n"/>
      <c r="B10" s="101" t="inlineStr">
        <is>
          <t>Анти-марафон</t>
        </is>
      </c>
      <c r="C10" s="102" t="inlineStr">
        <is>
          <t>Отстройка</t>
        </is>
      </c>
      <c r="D10" s="97" t="n"/>
      <c r="E10" s="103" t="inlineStr">
        <is>
          <t>1–2/мес</t>
        </is>
      </c>
      <c r="F10" s="97" t="n"/>
      <c r="G10" s="61" t="n"/>
    </row>
    <row r="11" ht="15.75" customHeight="1" s="60">
      <c r="A11" s="61" t="n"/>
      <c r="B11" s="98" t="inlineStr">
        <is>
          <t>Кухня сопровождения</t>
        </is>
      </c>
      <c r="C11" s="99" t="inlineStr">
        <is>
          <t>Ценность куратора</t>
        </is>
      </c>
      <c r="D11" s="97" t="n"/>
      <c r="E11" s="100" t="inlineStr">
        <is>
          <t>1/нед</t>
        </is>
      </c>
      <c r="F11" s="97" t="n"/>
      <c r="G11" s="61" t="n"/>
    </row>
    <row r="12" ht="15.75" customHeight="1" s="60">
      <c r="A12" s="61" t="n"/>
      <c r="B12" s="101" t="inlineStr">
        <is>
          <t>Кейсы (процесс)</t>
        </is>
      </c>
      <c r="C12" s="102" t="inlineStr">
        <is>
          <t>Доверие (низ)</t>
        </is>
      </c>
      <c r="D12" s="97" t="n"/>
      <c r="E12" s="103" t="inlineStr">
        <is>
          <t>2–3/мес</t>
        </is>
      </c>
      <c r="F12" s="97" t="n"/>
      <c r="G12" s="61" t="n"/>
    </row>
    <row r="13" ht="15.75" customHeight="1" s="60">
      <c r="A13" s="61" t="n"/>
      <c r="B13" s="98" t="inlineStr">
        <is>
          <t>Прозрачность</t>
        </is>
      </c>
      <c r="C13" s="99" t="inlineStr">
        <is>
          <t>Честный SLA, «не медуслуга»</t>
        </is>
      </c>
      <c r="D13" s="97" t="n"/>
      <c r="E13" s="100" t="inlineStr">
        <is>
          <t>1–2/мес</t>
        </is>
      </c>
      <c r="F13" s="97" t="n"/>
      <c r="G13" s="61" t="n"/>
    </row>
    <row r="14" ht="15.75" customHeight="1" s="60">
      <c r="A14" s="61" t="n"/>
      <c r="B14" s="101" t="inlineStr">
        <is>
          <t>Польза / режим</t>
        </is>
      </c>
      <c r="C14" s="102" t="inlineStr">
        <is>
          <t>Образование</t>
        </is>
      </c>
      <c r="D14" s="97" t="n"/>
      <c r="E14" s="103" t="inlineStr">
        <is>
          <t>1/нед</t>
        </is>
      </c>
      <c r="F14" s="97" t="n"/>
      <c r="G14" s="61" t="n"/>
    </row>
    <row r="15" ht="6.75" customHeight="1" s="60">
      <c r="A15" s="61" t="n"/>
      <c r="G15" s="61" t="n"/>
    </row>
    <row r="16" ht="19.5" customHeight="1" s="60">
      <c r="A16" s="61" t="n"/>
      <c r="B16" s="64" t="inlineStr">
        <is>
          <t>РИТМ ВЕДЕНИЯ</t>
        </is>
      </c>
      <c r="C16" s="65" t="n"/>
      <c r="D16" s="65" t="n"/>
      <c r="E16" s="65" t="n"/>
      <c r="F16" s="65" t="n"/>
      <c r="G16" s="61" t="n"/>
    </row>
    <row r="17" ht="39" customHeight="1" s="60">
      <c r="A17" s="61" t="n"/>
      <c r="B17" s="66" t="inlineStr">
        <is>
          <t>3–4 поста/нед + 1 лонгрид. Батч раз в неделю (пишешь наперёд) → отложенный постинг. Время: 8–10 и 19–22. Первые 30–60 мин после поста — отвечать в комментариях.</t>
        </is>
      </c>
      <c r="G17" s="61" t="n"/>
    </row>
    <row r="18" ht="6.75" customHeight="1" s="60">
      <c r="A18" s="61" t="n"/>
      <c r="G18" s="61" t="n"/>
    </row>
    <row r="19" ht="19.5" customHeight="1" s="60">
      <c r="A19" s="61" t="n"/>
      <c r="B19" s="64" t="inlineStr">
        <is>
          <t>ПРОДВИЖЕНИЕ</t>
        </is>
      </c>
      <c r="C19" s="65" t="n"/>
      <c r="D19" s="65" t="n"/>
      <c r="E19" s="65" t="n"/>
      <c r="F19" s="65" t="n"/>
      <c r="G19" s="61" t="n"/>
    </row>
    <row r="20" ht="15.75" customHeight="1" s="60">
      <c r="A20" s="61" t="n"/>
      <c r="B20" s="66" t="inlineStr">
        <is>
          <t>Органика: закреп → бот-магнит, взаимопиар с непрямыми (тренеры/ЗОЖ/выгорание), UGC и отзывы.</t>
        </is>
      </c>
      <c r="G20" s="61" t="n"/>
    </row>
    <row r="21" ht="15.75" customHeight="1" s="60">
      <c r="A21" s="61" t="n"/>
      <c r="B21" s="80" t="inlineStr">
        <is>
          <t>Посевы: только TGStat-проверка — ER ≥ 1,5–2%, доля ботов &lt; 10%; тест с промокодом/UTM.</t>
        </is>
      </c>
      <c r="G21" s="61" t="n"/>
    </row>
    <row r="22" ht="15.75" customHeight="1" s="60">
      <c r="A22" s="61" t="n"/>
      <c r="B22" s="66" t="inlineStr">
        <is>
          <t>Telegram Ads: через eLama (от 0 €, комиссия 15%); CPM €4–6 — считать CPL; вести на канал/магнит, не в оплату.</t>
        </is>
      </c>
      <c r="G22" s="61" t="n"/>
    </row>
    <row r="23" ht="6.75" customHeight="1" s="60">
      <c r="A23" s="61" t="n"/>
      <c r="G23" s="61" t="n"/>
    </row>
    <row r="24" ht="19.5" customHeight="1" s="60">
      <c r="A24" s="61" t="n"/>
      <c r="B24" s="64" t="inlineStr">
        <is>
          <t>ВОРОНКА</t>
        </is>
      </c>
      <c r="C24" s="65" t="n"/>
      <c r="D24" s="65" t="n"/>
      <c r="E24" s="65" t="n"/>
      <c r="F24" s="65" t="n"/>
      <c r="G24" s="61" t="n"/>
    </row>
    <row r="25" ht="54" customHeight="1" s="60">
      <c r="A25" s="61" t="n"/>
      <c r="B25" s="66" t="inlineStr">
        <is>
          <t>Холодный (Ads/посев) и тёплый (контент) → бот-магнит (тест/чек-лист) → запись на неделю (по ёмкости куратора!) → куратор. Все ссылки — с UTM/промокодом (аналитика урезана под 152-ФЗ).</t>
        </is>
      </c>
      <c r="G25" s="61" t="n"/>
    </row>
    <row r="26" ht="6.75" customHeight="1" s="60">
      <c r="A26" s="61" t="n"/>
      <c r="G26" s="61" t="n"/>
    </row>
    <row r="27" ht="19.5" customHeight="1" s="60">
      <c r="A27" s="61" t="n"/>
      <c r="B27" s="64" t="inlineStr">
        <is>
          <t>МЕТРИКИ</t>
        </is>
      </c>
      <c r="C27" s="65" t="n"/>
      <c r="D27" s="65" t="n"/>
      <c r="E27" s="65" t="n"/>
      <c r="F27" s="65" t="n"/>
      <c r="G27" s="61" t="n"/>
    </row>
    <row r="28" ht="39" customHeight="1" s="60">
      <c r="A28" s="61" t="n"/>
      <c r="B28" s="66" t="inlineStr">
        <is>
          <t>ER ≥ 1,5–2%   ·   доля ботов в доноре &lt; 10%   ·   CPL под целевым   ·   лид→неделя ≥ 40%   ·   неделя→оплата ≥ 30%</t>
        </is>
      </c>
      <c r="G28" s="61" t="n"/>
    </row>
    <row r="29" ht="6.75" customHeight="1" s="60">
      <c r="A29" s="61" t="n"/>
      <c r="G29" s="61" t="n"/>
    </row>
    <row r="30" ht="19.5" customHeight="1" s="60">
      <c r="A30" s="61" t="n"/>
      <c r="B30" s="64" t="inlineStr">
        <is>
          <t>ЛЕГАЛ</t>
        </is>
      </c>
      <c r="C30" s="65" t="n"/>
      <c r="D30" s="65" t="n"/>
      <c r="E30" s="65" t="n"/>
      <c r="F30" s="65" t="n"/>
      <c r="G30" s="61" t="n"/>
    </row>
    <row r="31" ht="39" customHeight="1" s="60">
      <c r="A31" s="61" t="n"/>
      <c r="B31" s="66" t="inlineStr">
        <is>
          <t>Свой контент в своём канале — ERID не нужен. Посевы/Ads — ERID + отчёт в ОРД до 30 числа + 3% рекламный сбор. Формулировки по COPY_VOICE.</t>
        </is>
      </c>
      <c r="G31" s="61" t="n"/>
    </row>
    <row r="32" ht="6.75" customHeight="1" s="60">
      <c r="A32" s="61" t="n"/>
      <c r="G32" s="61" t="n"/>
    </row>
    <row r="33" ht="19.5" customHeight="1" s="60">
      <c r="A33" s="61" t="n"/>
      <c r="B33" s="64" t="inlineStr">
        <is>
          <t>ЧЕГО НЕ ДЕЛАТЬ</t>
        </is>
      </c>
      <c r="C33" s="65" t="n"/>
      <c r="D33" s="65" t="n"/>
      <c r="E33" s="65" t="n"/>
      <c r="F33" s="65" t="n"/>
      <c r="G33" s="61" t="n"/>
    </row>
    <row r="34" ht="39" customHeight="1" s="60">
      <c r="A34" s="61" t="n"/>
      <c r="B34" s="81" t="inlineStr">
        <is>
          <t>Накрученные каналы; холодный трафик сразу в оплату; спам в чаты без разрешения; «−N кг» / «24/7» / «психолог».</t>
        </is>
      </c>
      <c r="G34" s="61" t="n"/>
    </row>
    <row r="35" ht="15" customHeight="1" s="60">
      <c r="A35" s="61" t="n"/>
      <c r="G35" s="61" t="n"/>
    </row>
  </sheetData>
  <mergeCells count="33">
    <mergeCell ref="B4:F4"/>
    <mergeCell ref="E12:F12"/>
    <mergeCell ref="B7:F7"/>
    <mergeCell ref="B16:F16"/>
    <mergeCell ref="B25:F25"/>
    <mergeCell ref="C14:D14"/>
    <mergeCell ref="B31:F31"/>
    <mergeCell ref="E14:F14"/>
    <mergeCell ref="B22:F22"/>
    <mergeCell ref="E8:F8"/>
    <mergeCell ref="B27:F27"/>
    <mergeCell ref="B21:F21"/>
    <mergeCell ref="C10:D10"/>
    <mergeCell ref="B2:F2"/>
    <mergeCell ref="E10:F10"/>
    <mergeCell ref="E13:F13"/>
    <mergeCell ref="B1:F1"/>
    <mergeCell ref="C9:D9"/>
    <mergeCell ref="E9:F9"/>
    <mergeCell ref="B17:F17"/>
    <mergeCell ref="C12:D12"/>
    <mergeCell ref="B34:F34"/>
    <mergeCell ref="C11:D11"/>
    <mergeCell ref="B28:F28"/>
    <mergeCell ref="E11:F11"/>
    <mergeCell ref="B19:F19"/>
    <mergeCell ref="C8:D8"/>
    <mergeCell ref="B30:F30"/>
    <mergeCell ref="B24:F24"/>
    <mergeCell ref="B20:F20"/>
    <mergeCell ref="B33:F33"/>
    <mergeCell ref="B5:F5"/>
    <mergeCell ref="C13:D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30" customWidth="1" style="59" min="1" max="1"/>
    <col width="14" customWidth="1" style="59" min="2" max="2"/>
    <col width="12" customWidth="1" style="59" min="3" max="3"/>
    <col width="14" customWidth="1" style="59" min="4" max="4"/>
    <col width="12" customWidth="1" style="59" min="5" max="5"/>
    <col width="30" customWidth="1" style="59" min="6" max="6"/>
  </cols>
  <sheetData>
    <row r="1" ht="24" customHeight="1" s="60">
      <c r="A1" s="104" t="inlineStr">
        <is>
          <t>KPI-трекер — обновляй «Факт» (жёлтые ячейки) еженедельно</t>
        </is>
      </c>
    </row>
    <row r="2" ht="15" customHeight="1" s="60">
      <c r="A2" s="105" t="n"/>
      <c r="B2" s="105" t="n"/>
      <c r="C2" s="105" t="n"/>
      <c r="D2" s="105" t="n"/>
      <c r="E2" s="105" t="n"/>
      <c r="F2" s="105" t="n"/>
    </row>
    <row r="3" ht="15" customHeight="1" s="60">
      <c r="A3" s="106" t="inlineStr">
        <is>
          <t>Метрика</t>
        </is>
      </c>
      <c r="B3" s="106" t="inlineStr">
        <is>
          <t>Цель</t>
        </is>
      </c>
      <c r="C3" s="106" t="inlineStr">
        <is>
          <t>Напр.</t>
        </is>
      </c>
      <c r="D3" s="106" t="inlineStr">
        <is>
          <t>Факт</t>
        </is>
      </c>
      <c r="E3" s="106" t="inlineStr">
        <is>
          <t>Статус</t>
        </is>
      </c>
      <c r="F3" s="106" t="inlineStr">
        <is>
          <t>Источник / комментарий</t>
        </is>
      </c>
    </row>
    <row r="4" ht="15" customHeight="1" s="60">
      <c r="A4" s="107" t="inlineStr">
        <is>
          <t>Активных клиентов</t>
        </is>
      </c>
      <c r="B4" s="108" t="n">
        <v>15</v>
      </c>
      <c r="C4" s="109" t="inlineStr">
        <is>
          <t>≥</t>
        </is>
      </c>
      <c r="D4" s="110" t="n"/>
      <c r="E4" s="111">
        <f>IF(D4="","—",IF(D4&gt;=B4,"✅","⚠"))</f>
        <v/>
      </c>
      <c r="F4" s="112" t="inlineStr">
        <is>
          <t>Ф0: цель 15</t>
        </is>
      </c>
    </row>
    <row r="5" ht="15" customHeight="1" s="60">
      <c r="A5" s="107" t="inlineStr">
        <is>
          <t>Свободная ёмкость кураторов</t>
        </is>
      </c>
      <c r="B5" s="113" t="n"/>
      <c r="C5" s="109" t="n"/>
      <c r="D5" s="110" t="n"/>
      <c r="E5" s="111" t="inlineStr">
        <is>
          <t>—</t>
        </is>
      </c>
      <c r="F5" s="112" t="inlineStr">
        <is>
          <t>кураторы×14 − активные Pro</t>
        </is>
      </c>
    </row>
    <row r="6" ht="15" customHeight="1" s="60">
      <c r="A6" s="107" t="inlineStr">
        <is>
          <t>Новых триалов / нед</t>
        </is>
      </c>
      <c r="B6" s="113" t="n"/>
      <c r="C6" s="109" t="n"/>
      <c r="D6" s="110" t="n"/>
      <c r="E6" s="111" t="inlineStr">
        <is>
          <t>—</t>
        </is>
      </c>
      <c r="F6" s="112" t="inlineStr">
        <is>
          <t>по ёмкости, не по бюджету</t>
        </is>
      </c>
    </row>
    <row r="7" ht="15" customHeight="1" s="60">
      <c r="A7" s="107" t="inlineStr">
        <is>
          <t>Лид → триал</t>
        </is>
      </c>
      <c r="B7" s="114" t="n">
        <v>0.4</v>
      </c>
      <c r="C7" s="109" t="inlineStr">
        <is>
          <t>≥</t>
        </is>
      </c>
      <c r="D7" s="115" t="n"/>
      <c r="E7" s="111">
        <f>IF(D7="","—",IF(D7&gt;=B7,"✅","⚠"))</f>
        <v/>
      </c>
      <c r="F7" s="112" t="inlineStr">
        <is>
          <t>CRM</t>
        </is>
      </c>
    </row>
    <row r="8" ht="15" customHeight="1" s="60">
      <c r="A8" s="107" t="inlineStr">
        <is>
          <t>Триал → оплата</t>
        </is>
      </c>
      <c r="B8" s="114" t="n">
        <v>0.3</v>
      </c>
      <c r="C8" s="109" t="inlineStr">
        <is>
          <t>≥</t>
        </is>
      </c>
      <c r="D8" s="115" t="n"/>
      <c r="E8" s="111">
        <f>IF(D8="","—",IF(D8&gt;=B8,"✅","⚠"))</f>
        <v/>
      </c>
      <c r="F8" s="112" t="inlineStr">
        <is>
          <t>Trial Machine — ключевая</t>
        </is>
      </c>
    </row>
    <row r="9" ht="15" customHeight="1" s="60">
      <c r="A9" s="107" t="inlineStr">
        <is>
          <t>CPL, ₽</t>
        </is>
      </c>
      <c r="B9" s="116" t="n">
        <v>400</v>
      </c>
      <c r="C9" s="109" t="inlineStr">
        <is>
          <t>≤</t>
        </is>
      </c>
      <c r="D9" s="117" t="n"/>
      <c r="E9" s="111">
        <f>IF(D9="","—",IF(D9&lt;=B9,"✅","⚠"))</f>
        <v/>
      </c>
      <c r="F9" s="112" t="inlineStr">
        <is>
          <t>под целевым CAC</t>
        </is>
      </c>
    </row>
    <row r="10" ht="15" customHeight="1" s="60">
      <c r="A10" s="107" t="inlineStr">
        <is>
          <t>Реальный CAC, ₽</t>
        </is>
      </c>
      <c r="B10" s="116" t="n">
        <v>10500</v>
      </c>
      <c r="C10" s="109" t="inlineStr">
        <is>
          <t>≤</t>
        </is>
      </c>
      <c r="D10" s="117" t="n"/>
      <c r="E10" s="111">
        <f>IF(D10="","—",IF(D10&lt;=B10,"✅","⚠"))</f>
        <v/>
      </c>
      <c r="F10" s="112" t="inlineStr">
        <is>
          <t>лист «Реальность-чек»</t>
        </is>
      </c>
    </row>
    <row r="11" ht="15" customHeight="1" s="60">
      <c r="A11" s="107" t="inlineStr">
        <is>
          <t>LTV : CAC</t>
        </is>
      </c>
      <c r="B11" s="118" t="n">
        <v>3</v>
      </c>
      <c r="C11" s="109" t="inlineStr">
        <is>
          <t>≥</t>
        </is>
      </c>
      <c r="D11" s="119" t="n"/>
      <c r="E11" s="111">
        <f>IF(D11="","—",IF(D11&gt;=B11,"✅","⚠"))</f>
        <v/>
      </c>
      <c r="F11" s="112" t="inlineStr">
        <is>
          <t>цель ≥ 3,0x</t>
        </is>
      </c>
    </row>
    <row r="12" ht="15" customHeight="1" s="60">
      <c r="A12" s="107" t="inlineStr">
        <is>
          <t>Отток / мес</t>
        </is>
      </c>
      <c r="B12" s="114" t="n">
        <v>0.09</v>
      </c>
      <c r="C12" s="109" t="inlineStr">
        <is>
          <t>≤</t>
        </is>
      </c>
      <c r="D12" s="115" t="n"/>
      <c r="E12" s="111">
        <f>IF(D12="","—",IF(D12&lt;=B12,"✅","⚠"))</f>
        <v/>
      </c>
      <c r="F12" s="112" t="inlineStr">
        <is>
          <t>биллинг</t>
        </is>
      </c>
    </row>
    <row r="13" ht="15" customHeight="1" s="60">
      <c r="A13" s="107" t="inlineStr">
        <is>
          <t>SLA-нарушения</t>
        </is>
      </c>
      <c r="B13" s="114" t="n">
        <v>0.05</v>
      </c>
      <c r="C13" s="109" t="inlineStr">
        <is>
          <t>≤</t>
        </is>
      </c>
      <c r="D13" s="115" t="n"/>
      <c r="E13" s="111">
        <f>IF(D13="","—",IF(D13&lt;=B13,"✅","⚠"))</f>
        <v/>
      </c>
      <c r="F13" s="112" t="inlineStr">
        <is>
          <t>операционка</t>
        </is>
      </c>
    </row>
    <row r="14" ht="15" customHeight="1" s="60">
      <c r="A14" s="107" t="inlineStr">
        <is>
          <t>ERID-покрытие креативов</t>
        </is>
      </c>
      <c r="B14" s="108" t="n">
        <v>1</v>
      </c>
      <c r="C14" s="109" t="inlineStr">
        <is>
          <t>≥</t>
        </is>
      </c>
      <c r="D14" s="110" t="n"/>
      <c r="E14" s="111">
        <f>IF(D14="","—",IF(D14&gt;=B14,"✅","⚠"))</f>
        <v/>
      </c>
      <c r="F14" s="112" t="inlineStr">
        <is>
          <t>маркировка рекламы</t>
        </is>
      </c>
    </row>
    <row r="15" ht="15" customHeight="1" s="60">
      <c r="A15" s="107" t="inlineStr">
        <is>
          <t>Выручка / мес, ₽</t>
        </is>
      </c>
      <c r="B15" s="113" t="n"/>
      <c r="C15" s="109" t="n"/>
      <c r="D15" s="117" t="n"/>
      <c r="E15" s="111" t="inlineStr">
        <is>
          <t>—</t>
        </is>
      </c>
      <c r="F15" s="112" t="inlineStr">
        <is>
          <t>растёт</t>
        </is>
      </c>
    </row>
    <row r="16" ht="15" customHeight="1" s="60">
      <c r="A16" s="105" t="n"/>
      <c r="B16" s="105" t="n"/>
      <c r="C16" s="105" t="n"/>
      <c r="D16" s="105" t="n"/>
      <c r="E16" s="105" t="n"/>
      <c r="F16" s="105" t="n"/>
    </row>
    <row r="17" ht="15" customHeight="1" s="60">
      <c r="A17" s="84" t="inlineStr">
        <is>
          <t>✅ в норме · ⚠ ниже цели · — нет данных / нет числовой цели. Меняй цели под текущую фазу (Ф0/Ф1).</t>
        </is>
      </c>
    </row>
  </sheetData>
  <mergeCells count="2">
    <mergeCell ref="A1:F1"/>
    <mergeCell ref="A17:F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2026-06-09T09:55:00Z</dcterms:created>
  <dcterms:modified xsi:type="dcterms:W3CDTF">2026-06-12T17:36:30Z</dcterms:modified>
  <cp:revision>0</cp:revision>
</cp:coreProperties>
</file>