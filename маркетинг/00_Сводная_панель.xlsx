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b54c00f69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6112785657f45e1"/>
    <x:sheet xmlns:r="http://schemas.openxmlformats.org/officeDocument/2006/relationships" name="Конкуренты" sheetId="2" r:id="Re8e2c16150854a25"/>
    <x:sheet xmlns:r="http://schemas.openxmlformats.org/officeDocument/2006/relationships" name="Telegram" sheetId="3" r:id="R42bda12d258a4129"/>
    <x:sheet xmlns:r="http://schemas.openxmlformats.org/officeDocument/2006/relationships" name="KPI-трекер" sheetId="4" r:id="Rdb99215f1c234953"/>
    <x:sheet xmlns:r="http://schemas.openxmlformats.org/officeDocument/2006/relationships" name="Pro Спорт" sheetId="5" r:id="Rca2aa4b7fcc2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#,##0&quot; ₽&quot;;\(#,##0&quot; ₽)&quot;;\-"/>
    <x:numFmt numFmtId="166" formatCode="0.0\x"/>
    <x:numFmt numFmtId="200" formatCode="#,##0 &quot;₽&quot;"/>
  </x:numFmts>
  <x:fonts count="37">
    <x:font>
      <x:sz val="11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8"/>
      <x:color rgb="FFFFFFFF"/>
      <x:name val="Arial"/>
    </x:font>
    <x:font>
      <x:i/>
      <x:sz val="9"/>
      <x:color rgb="FFC9D6DA"/>
      <x:name val="Arial"/>
    </x:font>
    <x:font>
      <x:b/>
      <x:sz val="9"/>
      <x:color rgb="FF2F8F7F"/>
      <x:name val="Arial"/>
    </x:font>
    <x:font>
      <x:sz val="10"/>
      <x:color rgb="FF2B3640"/>
      <x:name val="Arial"/>
    </x:font>
    <x:font>
      <x:b/>
      <x:sz val="9"/>
      <x:color rgb="FFFFFFFF"/>
      <x:name val="Arial"/>
    </x:font>
    <x:font>
      <x:b/>
      <x:sz val="9"/>
      <x:color rgb="FF2B3640"/>
      <x:name val="Arial"/>
    </x:font>
    <x:font>
      <x:sz val="9"/>
      <x:color rgb="FF2B3640"/>
      <x:name val="Arial"/>
    </x:font>
    <x:font>
      <x:i/>
      <x:sz val="9"/>
      <x:color rgb="FF7A8794"/>
      <x:name val="Arial"/>
    </x:font>
    <x:font>
      <x:sz val="9"/>
      <x:color rgb="FF7A8794"/>
      <x:name val="Arial"/>
    </x:font>
    <x:font>
      <x:b/>
      <x:sz val="22"/>
      <x:color rgb="FF2F8F7F"/>
      <x:name val="Arial"/>
    </x:font>
    <x:font>
      <x:b/>
      <x:sz val="22"/>
      <x:color rgb="FFC0392B"/>
      <x:name val="Arial"/>
    </x:font>
    <x:font>
      <x:b/>
      <x:sz val="18"/>
      <x:color rgb="FF15323D"/>
      <x:name val="Arial"/>
    </x:font>
    <x:font>
      <x:b/>
      <x:sz val="10"/>
      <x:color rgb="FF2B3640"/>
      <x:name val="Arial"/>
    </x:font>
    <x:font>
      <x:b/>
      <x:sz val="14"/>
      <x:color rgb="FFFFFFFF"/>
      <x:name val="Arial"/>
    </x:font>
    <x:font>
      <x:i/>
      <x:sz val="9"/>
      <x:color rgb="FF808080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b/>
      <x:sz val="9"/>
      <x:name val="Arial"/>
    </x:font>
    <x:font>
      <x:sz val="9"/>
      <x:name val="Arial"/>
    </x:font>
    <x:font>
      <x:sz val="9"/>
      <x:color rgb="FF1F4E78"/>
      <x:name val="Arial"/>
    </x:font>
    <x:font>
      <x:b/>
      <x:sz val="13"/>
      <x:color rgb="FFFFFFFF"/>
      <x:name val="Arial"/>
    </x:font>
    <x:font>
      <x:sz val="11"/>
      <x:color theme="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808080"/>
      <x:name val="Arial"/>
    </x:font>
    <x:font>
      <x:b/>
      <x:sz val="11"/>
      <x:color rgb="FF0000FF"/>
      <x:name val="Arial"/>
    </x:font>
    <x:font>
      <x:b/>
      <x:sz val="11"/>
      <x:name val="Arial"/>
    </x:font>
    <x:font>
      <x:sz val="9"/>
      <x:color rgb="FF555555"/>
      <x:name val="Arial"/>
    </x:font>
    <x:font>
      <x:b/>
      <x:sz val="16"/>
      <x:color rgb="FFFFFFFF"/>
      <x:name val="Arial"/>
    </x:font>
    <x:font>
      <x:i/>
      <x:sz val="11"/>
      <x:color rgb="FF607D8B"/>
      <x:name val="Arial"/>
    </x:font>
    <x:font>
      <x:sz val="11"/>
      <x:color rgb="FF263238"/>
      <x:name val="Arial"/>
    </x:font>
    <x:font>
      <x:b/>
      <x:sz val="11"/>
      <x:color rgb="FF2F8F83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5323D"/>
      </x:patternFill>
    </x:fill>
    <x:fill>
      <x:patternFill patternType="solid">
        <x:fgColor rgb="FFE8F3F0"/>
      </x:patternFill>
    </x:fill>
    <x:fill>
      <x:patternFill patternType="solid">
        <x:fgColor rgb="FFF6F9FA"/>
      </x:patternFill>
    </x:fill>
    <x:fill>
      <x:patternFill patternType="solid">
        <x:fgColor rgb="FF2F8F7F"/>
      </x:patternFill>
    </x:fill>
    <x:fill>
      <x:patternFill patternType="solid">
        <x:fgColor rgb="FFEEF3F4"/>
      </x:patternFill>
    </x:fill>
    <x:fill>
      <x:patternFill patternType="solid">
        <x:fgColor rgb="FFE3F0EA"/>
      </x:patternFill>
    </x:fill>
    <x:fill>
      <x:patternFill patternType="solid">
        <x:fgColor rgb="FFFBF3DA"/>
      </x:patternFill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EAF1FB"/>
      </x:patternFill>
    </x:fill>
    <x:fill>
      <x:patternFill patternType="solid">
        <x:fgColor rgb="FFDCE9D5"/>
      </x:patternFill>
    </x:fill>
    <x:fill>
      <x:patternFill patternType="solid">
        <x:fgColor rgb="FFFFF2CC"/>
      </x:patternFill>
    </x:fill>
    <x:fill>
      <x:patternFill patternType="solid">
        <x:fgColor rgb="FF153C4A"/>
      </x:patternFill>
    </x:fill>
    <x:fill>
      <x:patternFill patternType="solid">
        <x:fgColor rgb="FFEAF2F8"/>
      </x:patternFill>
    </x:fill>
    <x:fill>
      <x:patternFill patternType="solid">
        <x:fgColor rgb="FF22577A"/>
      </x:patternFill>
    </x:fill>
    <x:fill>
      <x:patternFill patternType="solid">
        <x:fgColor rgb="FFEAF4F1"/>
      </x:patternFill>
    </x:fill>
  </x:fills>
  <x:borders count="14">
    <x:border/>
    <x:border>
      <x:bottom style="thin">
        <x:color rgb="FF2F8F7F"/>
      </x:bottom>
    </x:border>
    <x:border>
      <x:left style="thin">
        <x:color rgb="FFD7E0E3"/>
      </x:left>
      <x:right style="thin">
        <x:color rgb="FFD7E0E3"/>
      </x:right>
      <x:top style="thin">
        <x:color rgb="FFD7E0E3"/>
      </x:top>
      <x:bottom style="thin">
        <x:color rgb="FFD7E0E3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D7E0E3"/>
      </x:top>
    </x:border>
    <x:border>
      <x:right style="thin">
        <x:color rgb="FFD7E0E3"/>
      </x:right>
      <x:top style="thin">
        <x:color rgb="FFD7E0E3"/>
      </x:top>
    </x:border>
    <x:border>
      <x:right style="thin">
        <x:color rgb="FFD7E0E3"/>
      </x:right>
      <x:top style="thin">
        <x:color rgb="FFD7E0E3"/>
      </x:top>
      <x:bottom style="thin">
        <x:color rgb="FFD7E0E3"/>
      </x:bottom>
    </x:border>
    <x:border>
      <x:left style="thin">
        <x:color rgb="FFC7D8D4"/>
      </x:left>
      <x:top style="thin">
        <x:color rgb="FFC7D8D4"/>
      </x:top>
      <x:bottom style="thin">
        <x:color rgb="FFC7D8D4"/>
      </x:bottom>
    </x:border>
    <x:border>
      <x:right style="thin">
        <x:color rgb="FFC7D8D4"/>
      </x:right>
      <x:top style="thin">
        <x:color rgb="FFC7D8D4"/>
      </x:top>
      <x:bottom style="thin">
        <x:color rgb="FFC7D8D4"/>
      </x:bottom>
    </x:border>
    <x:border>
      <x:bottom style="hair">
        <x:color rgb="FFC7D8D4"/>
      </x:bottom>
    </x:border>
    <x:border>
      <x:top style="thin">
        <x:color rgb="FFC7D8D4"/>
      </x:top>
      <x:bottom style="thin">
        <x:color rgb="FFC7D8D4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56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0" fillId="2" borderId="0" xfId="0" applyAlignment="1">
      <x:alignment horizontal="general" vertical="bottom"/>
    </x:xf>
    <x:xf numFmtId="0" fontId="4" fillId="3" borderId="0" xfId="0" applyAlignment="1">
      <x:alignment horizontal="left" vertical="center" wrapText="1"/>
    </x:xf>
    <x:xf numFmtId="0" fontId="5" fillId="3" borderId="0" xfId="0" applyAlignment="1">
      <x:alignment horizontal="left" vertical="center" wrapText="1"/>
    </x:xf>
    <x:xf numFmtId="0" fontId="6" fillId="4" borderId="1" xfId="0" applyAlignment="1">
      <x:alignment horizontal="left" vertical="center" wrapText="1"/>
    </x:xf>
    <x:xf numFmtId="0" fontId="7" fillId="5" borderId="0" xfId="0" applyAlignment="1">
      <x:alignment horizontal="left" vertical="center" wrapText="1"/>
    </x:xf>
    <x:xf numFmtId="0" fontId="8" fillId="6" borderId="2" xfId="0" applyAlignment="1">
      <x:alignment horizontal="left" vertical="center" wrapText="1"/>
    </x:xf>
    <x:xf numFmtId="0" fontId="8" fillId="6" borderId="2" xfId="0" applyAlignment="1">
      <x:alignment horizontal="center" vertical="center" wrapText="1"/>
    </x:xf>
    <x:xf numFmtId="0" fontId="9" fillId="2" borderId="2" xfId="0" applyAlignment="1">
      <x:alignment horizontal="left" vertical="center" wrapText="1"/>
    </x:xf>
    <x:xf numFmtId="0" fontId="10" fillId="2" borderId="2" xfId="0" applyAlignment="1">
      <x:alignment horizontal="center" vertical="center" wrapText="1"/>
    </x:xf>
    <x:xf numFmtId="0" fontId="9" fillId="7" borderId="2" xfId="0" applyAlignment="1">
      <x:alignment horizontal="left" vertical="center" wrapText="1"/>
    </x:xf>
    <x:xf numFmtId="0" fontId="10" fillId="7" borderId="2" xfId="0" applyAlignment="1">
      <x:alignment horizontal="center" vertical="center" wrapText="1"/>
    </x:xf>
    <x:xf numFmtId="0" fontId="9" fillId="8" borderId="2" xfId="0" applyAlignment="1">
      <x:alignment horizontal="left" vertical="center" wrapText="1"/>
    </x:xf>
    <x:xf numFmtId="0" fontId="10" fillId="8" borderId="2" xfId="0" applyAlignment="1">
      <x:alignment horizontal="center" vertical="center" wrapText="1"/>
    </x:xf>
    <x:xf numFmtId="0" fontId="11" fillId="0" borderId="0" xfId="0" applyAlignment="1">
      <x:alignment horizontal="left" vertical="center" wrapText="1"/>
    </x:xf>
    <x:xf numFmtId="0" fontId="12" fillId="5" borderId="0" xfId="0" applyAlignment="1">
      <x:alignment horizontal="center" vertical="bottom"/>
    </x:xf>
    <x:xf numFmtId="0" fontId="12" fillId="5" borderId="0" xfId="0" applyAlignment="1">
      <x:alignment horizontal="center" vertical="bottom"/>
    </x:xf>
    <x:xf numFmtId="0" fontId="13" fillId="5" borderId="0" xfId="0" applyAlignment="1">
      <x:alignment horizontal="center" vertical="top"/>
    </x:xf>
    <x:xf numFmtId="0" fontId="14" fillId="5" borderId="0" xfId="0" applyAlignment="1">
      <x:alignment horizontal="center" vertical="top"/>
    </x:xf>
    <x:xf numFmtId="0" fontId="15" fillId="5" borderId="0" xfId="0" applyAlignment="1">
      <x:alignment horizontal="center" vertical="top"/>
    </x:xf>
    <x:xf numFmtId="0" fontId="7" fillId="2" borderId="0" xfId="0" applyAlignment="1">
      <x:alignment horizontal="left" vertical="center" wrapText="1"/>
    </x:xf>
    <x:xf numFmtId="0" fontId="16" fillId="9" borderId="0" xfId="0" applyAlignment="1">
      <x:alignment horizontal="left" vertical="center" wrapText="1"/>
    </x:xf>
    <x:xf numFmtId="0" fontId="12" fillId="5" borderId="0" xfId="0" applyAlignment="1">
      <x:alignment horizontal="left" vertical="center" wrapText="1"/>
    </x:xf>
    <x:xf numFmtId="0" fontId="17" fillId="10" borderId="0" xfId="0" applyAlignment="1">
      <x:alignment horizontal="general" vertical="center"/>
    </x:xf>
    <x:xf numFmtId="0" fontId="18" fillId="0" borderId="0" xfId="0" applyAlignment="1">
      <x:alignment horizontal="general" vertical="bottom"/>
    </x:xf>
    <x:xf numFmtId="0" fontId="19" fillId="11" borderId="0" xfId="0" applyAlignment="1">
      <x:alignment horizontal="general" vertical="bottom"/>
    </x:xf>
    <x:xf numFmtId="0" fontId="20" fillId="12" borderId="0" xfId="0" applyAlignment="1">
      <x:alignment horizontal="general" vertical="top" wrapText="1"/>
    </x:xf>
    <x:xf numFmtId="0" fontId="8" fillId="11" borderId="3" xfId="0" applyAlignment="1">
      <x:alignment horizontal="center" vertical="center" wrapText="1"/>
    </x:xf>
    <x:xf numFmtId="0" fontId="21" fillId="12" borderId="3" xfId="0" applyAlignment="1">
      <x:alignment horizontal="general" vertical="top" wrapText="1"/>
    </x:xf>
    <x:xf numFmtId="0" fontId="22" fillId="13" borderId="3" xfId="0" applyAlignment="1">
      <x:alignment horizontal="general" vertical="top" wrapText="1"/>
    </x:xf>
    <x:xf numFmtId="0" fontId="22" fillId="0" borderId="3" xfId="0" applyAlignment="1">
      <x:alignment horizontal="general" vertical="top" wrapText="1"/>
    </x:xf>
    <x:xf numFmtId="0" fontId="8" fillId="11" borderId="3" xfId="0" applyAlignment="1">
      <x:alignment horizontal="center" vertical="bottom" wrapText="1"/>
    </x:xf>
    <x:xf numFmtId="0" fontId="23" fillId="0" borderId="3" xfId="0" applyAlignment="1">
      <x:alignment horizontal="general" vertical="top" wrapText="1"/>
    </x:xf>
    <x:xf numFmtId="0" fontId="20" fillId="13" borderId="0" xfId="0" applyAlignment="1">
      <x:alignment horizontal="general" vertical="top" wrapText="1"/>
    </x:xf>
    <x:xf numFmtId="0" fontId="8" fillId="6" borderId="2" xfId="0" applyAlignment="1">
      <x:alignment horizontal="left" vertical="center"/>
    </x:xf>
    <x:xf numFmtId="0" fontId="8" fillId="6" borderId="2" xfId="0" applyAlignment="1">
      <x:alignment horizontal="center" vertical="center"/>
    </x:xf>
    <x:xf numFmtId="0" fontId="9" fillId="2" borderId="2" xfId="0" applyAlignment="1">
      <x:alignment horizontal="general" vertical="bottom"/>
    </x:xf>
    <x:xf numFmtId="0" fontId="10" fillId="2" borderId="2" xfId="0" applyAlignment="1">
      <x:alignment horizontal="left" vertical="center" wrapText="1"/>
    </x:xf>
    <x:xf numFmtId="0" fontId="10" fillId="2" borderId="2" xfId="0" applyAlignment="1">
      <x:alignment horizontal="center" vertical="center"/>
    </x:xf>
    <x:xf numFmtId="0" fontId="9" fillId="7" borderId="2" xfId="0" applyAlignment="1">
      <x:alignment horizontal="general" vertical="bottom"/>
    </x:xf>
    <x:xf numFmtId="0" fontId="10" fillId="7" borderId="2" xfId="0" applyAlignment="1">
      <x:alignment horizontal="left" vertical="center" wrapText="1"/>
    </x:xf>
    <x:xf numFmtId="0" fontId="10" fillId="7" borderId="2" xfId="0" applyAlignment="1">
      <x:alignment horizontal="center" vertical="center"/>
    </x:xf>
    <x:xf numFmtId="0" fontId="24" fillId="10" borderId="0" xfId="0" applyAlignment="1">
      <x:alignment horizontal="general" vertical="bottom"/>
    </x:xf>
    <x:xf numFmtId="0" fontId="25" fillId="0" borderId="0" xfId="0" applyAlignment="1">
      <x:alignment horizontal="general" vertical="bottom"/>
    </x:xf>
    <x:xf numFmtId="0" fontId="26" fillId="11" borderId="3" xfId="0" applyAlignment="1">
      <x:alignment horizontal="center" vertical="bottom"/>
    </x:xf>
    <x:xf numFmtId="0" fontId="27" fillId="0" borderId="3" xfId="0" applyAlignment="1">
      <x:alignment horizontal="general" vertical="bottom"/>
    </x:xf>
    <x:xf numFmtId="3" fontId="28" fillId="0" borderId="3" xfId="0" applyAlignment="1">
      <x:alignment horizontal="center" vertical="bottom"/>
    </x:xf>
    <x:xf numFmtId="0" fontId="29" fillId="0" borderId="3" xfId="0" applyAlignment="1">
      <x:alignment horizontal="center" vertical="bottom"/>
    </x:xf>
    <x:xf numFmtId="3" fontId="30" fillId="14" borderId="3" xfId="0" applyAlignment="1">
      <x:alignment horizontal="center" vertical="bottom"/>
    </x:xf>
    <x:xf numFmtId="0" fontId="31" fillId="0" borderId="3" xfId="0" applyAlignment="1">
      <x:alignment horizontal="center" vertical="bottom"/>
    </x:xf>
    <x:xf numFmtId="0" fontId="32" fillId="0" borderId="3" xfId="0" applyAlignment="1">
      <x:alignment horizontal="general" vertical="bottom"/>
    </x:xf>
    <x:xf numFmtId="0" fontId="28" fillId="0" borderId="3" xfId="0" applyAlignment="1">
      <x:alignment horizontal="center" vertical="bottom"/>
    </x:xf>
    <x:xf numFmtId="164" fontId="28" fillId="0" borderId="3" xfId="0" applyAlignment="1">
      <x:alignment horizontal="center" vertical="bottom"/>
    </x:xf>
    <x:xf numFmtId="164" fontId="30" fillId="14" borderId="3" xfId="0" applyAlignment="1">
      <x:alignment horizontal="center" vertical="bottom"/>
    </x:xf>
    <x:xf numFmtId="165" fontId="28" fillId="0" borderId="3" xfId="0" applyAlignment="1">
      <x:alignment horizontal="center" vertical="bottom"/>
    </x:xf>
    <x:xf numFmtId="165" fontId="30" fillId="14" borderId="3" xfId="0" applyAlignment="1">
      <x:alignment horizontal="center" vertical="bottom"/>
    </x:xf>
    <x:xf numFmtId="166" fontId="28" fillId="0" borderId="3" xfId="0" applyAlignment="1">
      <x:alignment horizontal="center" vertical="bottom"/>
    </x:xf>
    <x:xf numFmtId="166" fontId="30" fillId="14" borderId="3" xfId="0" applyAlignment="1">
      <x:alignment horizontal="center" vertical="bottom"/>
    </x:xf>
    <x:xf numFmtId="0" fontId="0" fillId="0" borderId="0" xfId="0" applyAlignment="1">
      <x:alignment horizontal="general" vertical="bottom"/>
    </x:xf>
    <x:xf numFmtId="0" fontId="0" fillId="0" borderId="0" xfId="0"/>
    <x:xf numFmtId="0" fontId="0" fillId="2" borderId="0" xfId="0" applyAlignment="1">
      <x:alignment horizontal="general" vertical="bottom"/>
    </x:xf>
    <x:xf numFmtId="0" fontId="4" fillId="3" borderId="0" xfId="0" applyAlignment="1">
      <x:alignment horizontal="left" vertical="center" wrapText="1"/>
    </x:xf>
    <x:xf numFmtId="0" fontId="5" fillId="3" borderId="0" xfId="0" applyAlignment="1">
      <x:alignment horizontal="left" vertical="center" wrapText="1"/>
    </x:xf>
    <x:xf numFmtId="0" fontId="6" fillId="4" borderId="1" xfId="0" applyAlignment="1">
      <x:alignment horizontal="left" vertical="center" wrapText="1"/>
    </x:xf>
    <x:xf numFmtId="0" fontId="0" fillId="0" borderId="1" xfId="0"/>
    <x:xf numFmtId="0" fontId="7" fillId="5" borderId="0" xfId="0" applyAlignment="1">
      <x:alignment horizontal="left" vertical="center" wrapText="1"/>
    </x:xf>
    <x:xf numFmtId="0" fontId="8" fillId="6" borderId="2" xfId="0" applyAlignment="1">
      <x:alignment horizontal="left" vertical="center" wrapText="1"/>
    </x:xf>
    <x:xf numFmtId="0" fontId="8" fillId="6" borderId="2" xfId="0" applyAlignment="1">
      <x:alignment horizontal="center" vertical="center" wrapText="1"/>
    </x:xf>
    <x:xf numFmtId="0" fontId="9" fillId="2" borderId="2" xfId="0" applyAlignment="1">
      <x:alignment horizontal="left" vertical="center" wrapText="1"/>
    </x:xf>
    <x:xf numFmtId="0" fontId="10" fillId="2" borderId="2" xfId="0" applyAlignment="1">
      <x:alignment horizontal="center" vertical="center" wrapText="1"/>
    </x:xf>
    <x:xf numFmtId="0" fontId="9" fillId="7" borderId="2" xfId="0" applyAlignment="1">
      <x:alignment horizontal="left" vertical="center" wrapText="1"/>
    </x:xf>
    <x:xf numFmtId="0" fontId="10" fillId="7" borderId="2" xfId="0" applyAlignment="1">
      <x:alignment horizontal="center" vertical="center" wrapText="1"/>
    </x:xf>
    <x:xf numFmtId="0" fontId="9" fillId="8" borderId="2" xfId="0" applyAlignment="1">
      <x:alignment horizontal="left" vertical="center" wrapText="1"/>
    </x:xf>
    <x:xf numFmtId="0" fontId="10" fillId="8" borderId="2" xfId="0" applyAlignment="1">
      <x:alignment horizontal="center" vertical="center" wrapText="1"/>
    </x:xf>
    <x:xf numFmtId="0" fontId="11" fillId="0" borderId="0" xfId="0" applyAlignment="1">
      <x:alignment horizontal="left" vertical="center" wrapText="1"/>
    </x:xf>
    <x:xf numFmtId="0" fontId="12" fillId="5" borderId="0" xfId="0" applyAlignment="1">
      <x:alignment horizontal="center" vertical="bottom"/>
    </x:xf>
    <x:xf numFmtId="0" fontId="13" fillId="5" borderId="0" xfId="0" applyAlignment="1">
      <x:alignment horizontal="center" vertical="top"/>
    </x:xf>
    <x:xf numFmtId="0" fontId="14" fillId="5" borderId="0" xfId="0" applyAlignment="1">
      <x:alignment horizontal="center" vertical="top"/>
    </x:xf>
    <x:xf numFmtId="0" fontId="15" fillId="5" borderId="0" xfId="0" applyAlignment="1">
      <x:alignment horizontal="center" vertical="top"/>
    </x:xf>
    <x:xf numFmtId="0" fontId="7" fillId="2" borderId="0" xfId="0" applyAlignment="1">
      <x:alignment horizontal="left" vertical="center" wrapText="1"/>
    </x:xf>
    <x:xf numFmtId="0" fontId="16" fillId="9" borderId="0" xfId="0" applyAlignment="1">
      <x:alignment horizontal="left" vertical="center" wrapText="1"/>
    </x:xf>
    <x:xf numFmtId="0" fontId="12" fillId="5" borderId="0" xfId="0" applyAlignment="1">
      <x:alignment horizontal="left" vertical="center" wrapText="1"/>
    </x:xf>
    <x:xf numFmtId="0" fontId="17" fillId="10" borderId="0" xfId="0" applyAlignment="1">
      <x:alignment horizontal="general" vertical="center"/>
    </x:xf>
    <x:xf numFmtId="0" fontId="18" fillId="0" borderId="0" xfId="0" applyAlignment="1">
      <x:alignment horizontal="general" vertical="bottom"/>
    </x:xf>
    <x:xf numFmtId="0" fontId="19" fillId="11" borderId="0" xfId="0" applyAlignment="1">
      <x:alignment horizontal="general" vertical="bottom"/>
    </x:xf>
    <x:xf numFmtId="0" fontId="20" fillId="12" borderId="0" xfId="0" applyAlignment="1">
      <x:alignment horizontal="general" vertical="top" wrapText="1"/>
    </x:xf>
    <x:xf numFmtId="0" fontId="8" fillId="11" borderId="3" xfId="0" applyAlignment="1">
      <x:alignment horizontal="center" vertical="center" wrapText="1"/>
    </x:xf>
    <x:xf numFmtId="0" fontId="21" fillId="12" borderId="3" xfId="0" applyAlignment="1">
      <x:alignment horizontal="general" vertical="top" wrapText="1"/>
    </x:xf>
    <x:xf numFmtId="0" fontId="22" fillId="13" borderId="3" xfId="0" applyAlignment="1">
      <x:alignment horizontal="general" vertical="top" wrapText="1"/>
    </x:xf>
    <x:xf numFmtId="0" fontId="22" fillId="0" borderId="3" xfId="0" applyAlignment="1">
      <x:alignment horizontal="general" vertical="top" wrapText="1"/>
    </x:xf>
    <x:xf numFmtId="0" fontId="8" fillId="11" borderId="3" xfId="0" applyAlignment="1">
      <x:alignment horizontal="center" vertical="bottom" wrapText="1"/>
    </x:xf>
    <x:xf numFmtId="0" fontId="0" fillId="0" borderId="6" xfId="0"/>
    <x:xf numFmtId="0" fontId="23" fillId="0" borderId="3" xfId="0" applyAlignment="1">
      <x:alignment horizontal="general" vertical="top" wrapText="1"/>
    </x:xf>
    <x:xf numFmtId="0" fontId="20" fillId="13" borderId="0" xfId="0" applyAlignment="1">
      <x:alignment horizontal="general" vertical="top" wrapText="1"/>
    </x:xf>
    <x:xf numFmtId="0" fontId="8" fillId="6" borderId="2" xfId="0" applyAlignment="1">
      <x:alignment horizontal="left" vertical="center"/>
    </x:xf>
    <x:xf numFmtId="0" fontId="8" fillId="6" borderId="2" xfId="0" applyAlignment="1">
      <x:alignment horizontal="center" vertical="center"/>
    </x:xf>
    <x:xf numFmtId="0" fontId="0" fillId="0" borderId="9" xfId="0"/>
    <x:xf numFmtId="0" fontId="9" fillId="2" borderId="2" xfId="0" applyAlignment="1">
      <x:alignment horizontal="general" vertical="bottom"/>
    </x:xf>
    <x:xf numFmtId="0" fontId="10" fillId="2" borderId="2" xfId="0" applyAlignment="1">
      <x:alignment horizontal="left" vertical="center" wrapText="1"/>
    </x:xf>
    <x:xf numFmtId="0" fontId="10" fillId="2" borderId="2" xfId="0" applyAlignment="1">
      <x:alignment horizontal="center" vertical="center"/>
    </x:xf>
    <x:xf numFmtId="0" fontId="9" fillId="7" borderId="2" xfId="0" applyAlignment="1">
      <x:alignment horizontal="general" vertical="bottom"/>
    </x:xf>
    <x:xf numFmtId="0" fontId="10" fillId="7" borderId="2" xfId="0" applyAlignment="1">
      <x:alignment horizontal="left" vertical="center" wrapText="1"/>
    </x:xf>
    <x:xf numFmtId="0" fontId="10" fillId="7" borderId="2" xfId="0" applyAlignment="1">
      <x:alignment horizontal="center" vertical="center"/>
    </x:xf>
    <x:xf numFmtId="0" fontId="24" fillId="10" borderId="0" xfId="0" applyAlignment="1">
      <x:alignment horizontal="general" vertical="bottom"/>
    </x:xf>
    <x:xf numFmtId="0" fontId="25" fillId="0" borderId="0" xfId="0" applyAlignment="1">
      <x:alignment horizontal="general" vertical="bottom"/>
    </x:xf>
    <x:xf numFmtId="0" fontId="26" fillId="11" borderId="3" xfId="0" applyAlignment="1">
      <x:alignment horizontal="center" vertical="bottom"/>
    </x:xf>
    <x:xf numFmtId="0" fontId="27" fillId="0" borderId="3" xfId="0" applyAlignment="1">
      <x:alignment horizontal="general" vertical="bottom"/>
    </x:xf>
    <x:xf numFmtId="3" fontId="28" fillId="0" borderId="3" xfId="0" applyAlignment="1">
      <x:alignment horizontal="center" vertical="bottom"/>
    </x:xf>
    <x:xf numFmtId="0" fontId="29" fillId="0" borderId="3" xfId="0" applyAlignment="1">
      <x:alignment horizontal="center" vertical="bottom"/>
    </x:xf>
    <x:xf numFmtId="3" fontId="30" fillId="14" borderId="3" xfId="0" applyAlignment="1">
      <x:alignment horizontal="center" vertical="bottom"/>
    </x:xf>
    <x:xf numFmtId="0" fontId="31" fillId="0" borderId="3" xfId="0" applyAlignment="1">
      <x:alignment horizontal="center" vertical="bottom"/>
    </x:xf>
    <x:xf numFmtId="0" fontId="32" fillId="0" borderId="3" xfId="0" applyAlignment="1">
      <x:alignment horizontal="general" vertical="bottom"/>
    </x:xf>
    <x:xf numFmtId="0" fontId="28" fillId="0" borderId="3" xfId="0" applyAlignment="1">
      <x:alignment horizontal="center" vertical="bottom"/>
    </x:xf>
    <x:xf numFmtId="164" fontId="28" fillId="0" borderId="3" xfId="0" applyAlignment="1">
      <x:alignment horizontal="center" vertical="bottom"/>
    </x:xf>
    <x:xf numFmtId="164" fontId="30" fillId="14" borderId="3" xfId="0" applyAlignment="1">
      <x:alignment horizontal="center" vertical="bottom"/>
    </x:xf>
    <x:xf numFmtId="165" fontId="28" fillId="0" borderId="3" xfId="0" applyAlignment="1">
      <x:alignment horizontal="center" vertical="bottom"/>
    </x:xf>
    <x:xf numFmtId="165" fontId="30" fillId="14" borderId="3" xfId="0" applyAlignment="1">
      <x:alignment horizontal="center" vertical="bottom"/>
    </x:xf>
    <x:xf numFmtId="166" fontId="28" fillId="0" borderId="3" xfId="0" applyAlignment="1">
      <x:alignment horizontal="center" vertical="bottom"/>
    </x:xf>
    <x:xf numFmtId="166" fontId="30" fillId="14" borderId="3" xfId="0" applyAlignment="1">
      <x:alignment horizontal="center" vertical="bottom"/>
    </x:xf>
    <x:xf numFmtId="0" fontId="0" fillId="15" borderId="0" xfId="0" applyNumberFormat="1" applyFont="1" applyFill="1" applyBorder="1" applyAlignment="1">
      <x:alignment horizontal="general" vertical="bottom"/>
    </x:xf>
    <x:xf numFmtId="0" fontId="33" fillId="15" borderId="0" xfId="0" applyNumberFormat="1" applyFont="1" applyFill="1" applyBorder="1" applyAlignment="1">
      <x:alignment horizontal="general" vertical="bottom"/>
    </x:xf>
    <x:xf numFmtId="0" fontId="33" fillId="15" borderId="0" xfId="0" applyNumberFormat="1" applyFont="1" applyFill="1" applyBorder="1" applyAlignment="1">
      <x:alignment horizontal="left" vertical="bottom"/>
    </x:xf>
    <x:xf numFmtId="0" fontId="33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 applyAlignment="1">
      <x:alignment horizontal="general" vertical="bottom"/>
    </x:xf>
    <x:xf numFmtId="0" fontId="34" fillId="16" borderId="0" xfId="0" applyNumberFormat="1" applyFont="1" applyFill="1" applyBorder="1" applyAlignment="1">
      <x:alignment horizontal="general" vertical="bottom"/>
    </x:xf>
    <x:xf numFmtId="0" fontId="34" fillId="16" borderId="0" xfId="0" applyNumberFormat="1" applyFont="1" applyFill="1" applyBorder="1" applyAlignment="1">
      <x:alignment horizontal="general" vertical="bottom" wrapText="1"/>
    </x:xf>
    <x:xf numFmtId="0" fontId="0" fillId="17" borderId="0" xfId="0" applyNumberFormat="1" applyFont="1" applyFill="1" applyBorder="1" applyAlignment="1">
      <x:alignment horizontal="general" vertical="bottom"/>
    </x:xf>
    <x:xf numFmtId="0" fontId="26" fillId="17" borderId="0" xfId="0" applyNumberFormat="1" applyFont="1" applyFill="1" applyBorder="1" applyAlignment="1">
      <x:alignment horizontal="general" vertical="bottom"/>
    </x:xf>
    <x:xf numFmtId="0" fontId="26" fillId="17" borderId="10" xfId="0" applyNumberFormat="1" applyFont="1" applyFill="1" applyBorder="1" applyAlignment="1">
      <x:alignment horizontal="general" vertical="bottom"/>
    </x:xf>
    <x:xf numFmtId="0" fontId="26" fillId="17" borderId="11" xfId="0" applyNumberFormat="1" applyFont="1" applyFill="1" applyBorder="1" applyAlignment="1">
      <x:alignment horizontal="general" vertical="bottom"/>
    </x:xf>
    <x:xf numFmtId="0" fontId="26" fillId="17" borderId="10" xfId="0" applyNumberFormat="1" applyFont="1" applyFill="1" applyBorder="1" applyAlignment="1">
      <x:alignment horizontal="general" vertical="bottom" wrapText="1"/>
    </x:xf>
    <x:xf numFmtId="0" fontId="26" fillId="17" borderId="11" xfId="0" applyNumberFormat="1" applyFont="1" applyFill="1" applyBorder="1" applyAlignment="1">
      <x:alignment horizontal="general" vertical="bottom" wrapText="1"/>
    </x:xf>
    <x:xf numFmtId="0" fontId="26" fillId="17" borderId="10" xfId="0" applyNumberFormat="1" applyFont="1" applyFill="1" applyBorder="1" applyAlignment="1">
      <x:alignment horizontal="center" vertical="bottom" wrapText="1"/>
    </x:xf>
    <x:xf numFmtId="0" fontId="26" fillId="17" borderId="11" xfId="0" applyNumberFormat="1" applyFont="1" applyFill="1" applyBorder="1" applyAlignment="1">
      <x:alignment horizontal="center" vertical="bottom" wrapText="1"/>
    </x:xf>
    <x:xf numFmtId="0" fontId="26" fillId="17" borderId="10" xfId="0" applyNumberFormat="1" applyFont="1" applyFill="1" applyBorder="1" applyAlignment="1">
      <x:alignment horizontal="center" vertical="center" wrapText="1"/>
    </x:xf>
    <x:xf numFmtId="0" fontId="26" fillId="17" borderId="11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 applyAlignment="1">
      <x:alignment horizontal="general" vertical="bottom"/>
    </x:xf>
    <x:xf numFmtId="0" fontId="35" fillId="0" xfId="0" applyNumberFormat="1" applyFont="1" applyFill="1" applyBorder="0" applyAlignment="1">
      <x:alignment horizontal="general" vertical="bottom"/>
    </x:xf>
    <x:xf numFmtId="0" fontId="35" fillId="0" borderId="12" xfId="0" applyNumberFormat="1" applyFont="1" applyFill="1" applyBorder="1" applyAlignment="1">
      <x:alignment horizontal="general" vertical="bottom"/>
    </x:xf>
    <x:xf numFmtId="0" fontId="35" fillId="0" xfId="0" applyNumberFormat="1" applyFont="1" applyFill="1" applyBorder="0" applyAlignment="1">
      <x:alignment horizontal="general" vertical="bottom" wrapText="1"/>
    </x:xf>
    <x:xf numFmtId="0" fontId="35" fillId="0" borderId="12" xfId="0" applyNumberFormat="1" applyFont="1" applyFill="1" applyBorder="1" applyAlignment="1">
      <x:alignment horizontal="general" vertical="bottom" wrapText="1"/>
    </x:xf>
    <x:xf numFmtId="0" fontId="35" fillId="0" xfId="0" applyNumberFormat="1" applyFont="1" applyFill="1" applyBorder="0" applyAlignment="1">
      <x:alignment horizontal="general" vertical="top" wrapText="1"/>
    </x:xf>
    <x:xf numFmtId="0" fontId="35" fillId="0" borderId="12" xfId="0" applyNumberFormat="1" applyFont="1" applyFill="1" applyBorder="1" applyAlignment="1">
      <x:alignment horizontal="general" vertical="top" wrapText="1"/>
    </x:xf>
    <x:xf numFmtId="0" fontId="0" fillId="18" borderId="0" xfId="0" applyNumberFormat="1" applyFont="1" applyFill="1" applyBorder="1" applyAlignment="1">
      <x:alignment horizontal="general" vertical="bottom"/>
    </x:xf>
    <x:xf numFmtId="0" fontId="36" fillId="18" borderId="0" xfId="0" applyNumberFormat="1" applyFont="1" applyFill="1" applyBorder="1" applyAlignment="1">
      <x:alignment horizontal="general" vertical="bottom"/>
    </x:xf>
    <x:xf numFmtId="0" fontId="36" fillId="18" borderId="0" xfId="0" applyNumberFormat="1" applyFont="1" applyFill="1" applyBorder="1" applyAlignment="1">
      <x:alignment horizontal="general" vertical="center"/>
    </x:xf>
    <x:xf numFmtId="0" fontId="26" fillId="17" borderId="13" xfId="0" applyNumberFormat="1" applyFont="1" applyFill="1" applyBorder="1" applyAlignment="1">
      <x:alignment horizontal="general" vertical="bottom"/>
    </x:xf>
    <x:xf numFmtId="0" fontId="26" fillId="17" borderId="13" xfId="0" applyNumberFormat="1" applyFont="1" applyFill="1" applyBorder="1" applyAlignment="1">
      <x:alignment horizontal="general" vertical="bottom" wrapText="1"/>
    </x:xf>
    <x:xf numFmtId="0" fontId="26" fillId="17" borderId="13" xfId="0" applyNumberFormat="1" applyFont="1" applyFill="1" applyBorder="1" applyAlignment="1">
      <x:alignment horizontal="center" vertical="bottom" wrapText="1"/>
    </x:xf>
    <x:xf numFmtId="0" fontId="26" fillId="17" borderId="13" xfId="0" applyNumberFormat="1" applyFont="1" applyFill="1" applyBorder="1" applyAlignment="1">
      <x:alignment horizontal="center" vertical="center" wrapText="1"/>
    </x:xf>
    <x:xf numFmtId="200" fontId="35" fillId="0" xfId="0" applyNumberFormat="1" applyFont="1" applyFill="1" applyBorder="0" applyAlignment="1">
      <x:alignment horizontal="general" vertical="top" wrapText="1"/>
    </x:xf>
    <x:xf numFmtId="164" fontId="35" fillId="0" xfId="0" applyNumberFormat="1" applyFont="1" applyFill="1" applyBorder="0" applyAlignment="1">
      <x:alignment horizontal="general" vertical="top" wrapText="1"/>
    </x:xf>
    <x:xf numFmtId="0" fontId="33" fillId="15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36" fillId="18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3F0EA"/>
      <x:rgbColor rgb="FF660066"/>
      <x:rgbColor rgb="FFFF8080"/>
      <x:rgbColor rgb="FF0066CC"/>
      <x:rgbColor rgb="FFC9D6DA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F3F0"/>
      <x:rgbColor rgb="FFDCE9D5"/>
      <x:rgbColor rgb="FFFBF3DA"/>
      <x:rgbColor rgb="FFEAF1FB"/>
      <x:rgbColor rgb="FFEEF3F4"/>
      <x:rgbColor rgb="FFF6F9FA"/>
      <x:rgbColor rgb="FFD7E0E3"/>
      <x:rgbColor rgb="FF2E75B6"/>
      <x:rgbColor rgb="FF33CCCC"/>
      <x:rgbColor rgb="FF99CC00"/>
      <x:rgbColor rgb="FFFFCC00"/>
      <x:rgbColor rgb="FFFF9900"/>
      <x:rgbColor rgb="FFFF6600"/>
      <x:rgbColor rgb="FF555555"/>
      <x:rgbColor rgb="FF7A8794"/>
      <x:rgbColor rgb="FF15323D"/>
      <x:rgbColor rgb="FF2F8F7F"/>
      <x:rgbColor rgb="FF111111"/>
      <x:rgbColor rgb="FF333300"/>
      <x:rgbColor rgb="FFC0392B"/>
      <x:rgbColor rgb="FF993366"/>
      <x:rgbColor rgb="FF1F4E78"/>
      <x:rgbColor rgb="FF2B3640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f98de3dea4363" /><Relationship Type="http://schemas.openxmlformats.org/officeDocument/2006/relationships/theme" Target="/xl/theme/theme1.xml" Id="R4c603a6a8fd14a9f" /><Relationship Type="http://schemas.openxmlformats.org/officeDocument/2006/relationships/sharedStrings" Target="/xl/sharedStrings.xml" Id="Ra516df699bb1473d" /><Relationship Type="http://schemas.openxmlformats.org/officeDocument/2006/relationships/worksheet" Target="/xl/worksheets/sheet1.xml" Id="R66112785657f45e1" /><Relationship Type="http://schemas.openxmlformats.org/officeDocument/2006/relationships/worksheet" Target="/xl/worksheets/sheet2.xml" Id="Re8e2c16150854a25" /><Relationship Type="http://schemas.openxmlformats.org/officeDocument/2006/relationships/worksheet" Target="/xl/worksheets/sheet3.xml" Id="R42bda12d258a4129" /><Relationship Type="http://schemas.openxmlformats.org/officeDocument/2006/relationships/worksheet" Target="/xl/worksheets/sheet4.xml" Id="Rdb99215f1c234953" /><Relationship Type="http://schemas.openxmlformats.org/officeDocument/2006/relationships/worksheet" Target="/xl/worksheets/sheet5.xml" Id="Rca2aa4b7fcc24f2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171875" defaultRowHeight="15"/>
  <x:cols>
    <x:col min="1" max="1" width="2.5" style="59" customWidth="1"/>
    <x:col min="2" max="2" width="27" style="59" customWidth="1"/>
    <x:col min="3" max="6" width="17" style="59" customWidth="1"/>
    <x:col min="7" max="7" width="2.5" style="59" customWidth="1"/>
  </x:cols>
  <x:sheetData>
    <x:row r="1" s="60" customFormat="1" ht="33.75" customHeight="1">
      <x:c r="A1" s="61" t="n"/>
      <x:c r="B1" s="62" t="inlineStr">
        <x:is>
          <x:t xml:space="preserve">HEYS · Маркетинг-методология</x:t>
        </x:is>
      </x:c>
      <x:c r="G1" s="61" t="n"/>
    </x:row>
    <x:row r="2" s="60" customFormat="1" ht="18" customHeight="1">
      <x:c r="A2" s="61" t="n"/>
      <x:c r="B2" s="63" t="inlineStr">
        <x:is>
          <x:t xml:space="preserve">Сводная панель · снапшот 2026-06-10 (вечер) · детали в файлах 01–28</x:t>
        </x:is>
      </x:c>
      <x:c r="G2" s="61" t="n"/>
    </x:row>
    <x:row r="3" s="60" customFormat="1" ht="6.75" customHeight="1">
      <x:c r="A3" s="61" t="n"/>
      <x:c r="G3" s="61" t="n"/>
    </x:row>
    <x:row r="4" s="60" customFormat="1" ht="19.5" customHeight="1">
      <x:c r="A4" s="61" t="n"/>
      <x:c r="B4" s="64" t="inlineStr">
        <x:is>
          <x:t xml:space="preserve">СУТЬ</x:t>
        </x:is>
      </x:c>
      <x:c r="C4" s="65" t="n"/>
      <x:c r="D4" s="65" t="n"/>
      <x:c r="E4" s="65" t="n"/>
      <x:c r="F4" s="65" t="n"/>
      <x:c r="G4" s="61" t="n"/>
    </x:row>
    <x:row r="5" s="60" customFormat="1" ht="39" customHeight="1">
      <x:c r="A5" s="61" t="n"/>
      <x:c r="B5" s="66" t="inlineStr">
        <x:is>
          <x:t xml:space="preserve">Приложение + живой куратор + протоколы. Продаём внимательную внешнюю опору: вас ведут, держат контекст недели и помогают вернуться без стыда.</x:t>
        </x:is>
      </x:c>
      <x:c r="G5" s="61" t="n"/>
    </x:row>
    <x:row r="6" s="60" customFormat="1" ht="6.75" customHeight="1">
      <x:c r="A6" s="61" t="n"/>
      <x:c r="G6" s="61" t="n"/>
    </x:row>
    <x:row r="7" s="60" customFormat="1" ht="19.5" customHeight="1">
      <x:c r="A7" s="61" t="n"/>
      <x:c r="B7" s="64" t="inlineStr">
        <x:is>
          <x:t xml:space="preserve">ПОЗИЦИОНИРОВАНИЕ</x:t>
        </x:is>
      </x:c>
      <x:c r="C7" s="65" t="n"/>
      <x:c r="D7" s="65" t="n"/>
      <x:c r="E7" s="65" t="n"/>
      <x:c r="F7" s="65" t="n"/>
      <x:c r="G7" s="61" t="n"/>
    </x:row>
    <x:row r="8" s="60" customFormat="1" ht="39" customHeight="1">
      <x:c r="A8" s="61" t="n"/>
      <x:c r="B8" s="66" t="inlineStr">
        <x:is>
          <x:t xml:space="preserve">Между DIY-трекерами (нет человека, 0–500 ₽) и нутрициологом 1:1 (25 000+ ₽, нет приложения): куратор ведёт дневник + приложение по доступной цене.</x:t>
        </x:is>
      </x:c>
      <x:c r="G8" s="61" t="n"/>
    </x:row>
    <x:row r="9" s="60" customFormat="1" ht="6.75" customHeight="1">
      <x:c r="A9" s="61" t="n"/>
      <x:c r="G9" s="61" t="n"/>
    </x:row>
    <x:row r="10" s="60" customFormat="1" ht="19.5" customHeight="1">
      <x:c r="A10" s="61" t="n"/>
      <x:c r="B10" s="64" t="inlineStr">
        <x:is>
          <x:t xml:space="preserve">ТАРИФНАЯ СЕТКА</x:t>
        </x:is>
      </x:c>
      <x:c r="C10" s="65" t="n"/>
      <x:c r="D10" s="65" t="n"/>
      <x:c r="E10" s="65" t="n"/>
      <x:c r="F10" s="65" t="n"/>
      <x:c r="G10" s="61" t="n"/>
    </x:row>
    <x:row r="11" s="60" customFormat="1" ht="18" customHeight="1">
      <x:c r="A11" s="61" t="n"/>
      <x:c r="B11" s="67" t="inlineStr">
        <x:is>
          <x:t xml:space="preserve">Тариф</x:t>
        </x:is>
      </x:c>
      <x:c r="C11" s="68" t="inlineStr">
        <x:is>
          <x:t xml:space="preserve">Цена/мес</x:t>
        </x:is>
      </x:c>
      <x:c r="D11" s="68" t="inlineStr">
        <x:is>
          <x:t xml:space="preserve">Куратор</x:t>
        </x:is>
      </x:c>
      <x:c r="E11" s="68" t="inlineStr">
        <x:is>
          <x:t xml:space="preserve">AI</x:t>
        </x:is>
      </x:c>
      <x:c r="F11" s="68" t="inlineStr">
        <x:is>
          <x:t xml:space="preserve">Удержание</x:t>
        </x:is>
      </x:c>
      <x:c r="G11" s="61" t="n"/>
    </x:row>
    <x:row r="12" s="60" customFormat="1" ht="16.5" customHeight="1">
      <x:c r="A12" s="61" t="n"/>
      <x:c r="B12" s="69" t="inlineStr">
        <x:is>
          <x:t xml:space="preserve">Self</x:t>
        </x:is>
      </x:c>
      <x:c r="C12" s="70" t="inlineStr">
        <x:is>
          <x:t xml:space="preserve">490 ₽</x:t>
        </x:is>
      </x:c>
      <x:c r="D12" s="70" t="inlineStr">
        <x:is>
          <x:t xml:space="preserve">—</x:t>
        </x:is>
      </x:c>
      <x:c r="E12" s="70" t="inlineStr">
        <x:is>
          <x:t xml:space="preserve">—</x:t>
        </x:is>
      </x:c>
      <x:c r="F12" s="70" t="inlineStr">
        <x:is>
          <x:t xml:space="preserve">продление вручную</x:t>
        </x:is>
      </x:c>
      <x:c r="G12" s="61" t="n"/>
    </x:row>
    <x:row r="13" s="60" customFormat="1" ht="16.5" customHeight="1">
      <x:c r="A13" s="61" t="n"/>
      <x:c r="B13" s="71" t="inlineStr">
        <x:is>
          <x:t xml:space="preserve">Pro</x:t>
        </x:is>
      </x:c>
      <x:c r="C13" s="72" t="inlineStr">
        <x:is>
          <x:t xml:space="preserve">7 990 ₽*</x:t>
        </x:is>
      </x:c>
      <x:c r="D13" s="72" t="inlineStr">
        <x:is>
          <x:t xml:space="preserve">ежедневно</x:t>
        </x:is>
      </x:c>
      <x:c r="E13" s="72" t="inlineStr">
        <x:is>
          <x:t xml:space="preserve">нет (ввод руками — фича)</x:t>
        </x:is>
      </x:c>
      <x:c r="F13" s="72" t="inlineStr">
        <x:is>
          <x:t xml:space="preserve">продление ведёт куратор</x:t>
        </x:is>
      </x:c>
      <x:c r="G13" s="61" t="n"/>
    </x:row>
    <x:row r="14" s="60" customFormat="1" ht="16.5" customHeight="1">
      <x:c r="A14" s="61" t="n"/>
      <x:c r="B14" s="69" t="str">
        <x:v>Pro Спорт</x:v>
      </x:c>
      <x:c r="C14" s="70" t="str">
        <x:v>19 990 ₽</x:v>
      </x:c>
      <x:c r="D14" s="70" t="str">
        <x:v>один специалист: питание + тренировки</x:v>
      </x:c>
      <x:c r="E14" s="70" t="str">
        <x:v>нет (ввод руками — фича)</x:v>
      </x:c>
      <x:c r="F14" s="70" t="str">
        <x:v>ручное продление; 4 места</x:v>
      </x:c>
      <x:c r="G14" s="61" t="n"/>
    </x:row>
    <x:row r="15" s="60" customFormat="1" ht="16.5" customHeight="1">
      <x:c r="A15" s="61" t="n"/>
      <x:c r="B15" s="73" t="inlineStr">
        <x:is>
          <x:t xml:space="preserve">Solo / Lite</x:t>
        </x:is>
      </x:c>
      <x:c r="C15" s="74" t="inlineStr">
        <x:is>
          <x:t xml:space="preserve">архив</x:t>
        </x:is>
      </x:c>
      <x:c r="D15" s="74" t="inlineStr">
        <x:is>
          <x:t xml:space="preserve">—</x:t>
        </x:is>
      </x:c>
      <x:c r="E15" s="74" t="inlineStr">
        <x:is>
          <x:t xml:space="preserve">—</x:t>
        </x:is>
      </x:c>
      <x:c r="F15" s="74" t="inlineStr">
        <x:is>
          <x:t xml:space="preserve">R&amp;D / вопрос после Ф0</x:t>
        </x:is>
      </x:c>
      <x:c r="G15" s="61" t="n"/>
    </x:row>
    <x:row r="16" s="60" customFormat="1" ht="16.5" customHeight="1">
      <x:c r="A16" s="61" t="n"/>
      <x:c r="B16" s="73" t="n"/>
      <x:c r="C16" s="74" t="n"/>
      <x:c r="D16" s="74" t="n"/>
      <x:c r="E16" s="74" t="n"/>
      <x:c r="F16" s="74" t="n"/>
      <x:c r="G16" s="61" t="n"/>
    </x:row>
    <x:row r="17" s="60" customFormat="1" ht="39" customHeight="1">
      <x:c r="A17" s="61" t="n"/>
      <x:c r="B17" s="75" t="str">
        <x:v>* Pro — главный тариф и бесплатная неделя. Pro Спорт: пилот 4 места по 19 990 ₽; следующий набор 26 990 ₽ после ретроспективы.</x:v>
      </x:c>
      <x:c r="G17" s="61" t="n"/>
    </x:row>
    <x:row r="18" s="60" customFormat="1" ht="6.75" customHeight="1">
      <x:c r="A18" s="61" t="n"/>
      <x:c r="G18" s="61" t="n"/>
    </x:row>
    <x:row r="19" s="60" customFormat="1" ht="19.5" customHeight="1">
      <x:c r="A19" s="61" t="n"/>
      <x:c r="B19" s="64" t="inlineStr">
        <x:is>
          <x:t xml:space="preserve">ЭКОНОМИКА</x:t>
        </x:is>
      </x:c>
      <x:c r="C19" s="65" t="n"/>
      <x:c r="D19" s="65" t="n"/>
      <x:c r="E19" s="65" t="n"/>
      <x:c r="F19" s="65" t="n"/>
      <x:c r="G19" s="61" t="n"/>
    </x:row>
    <x:row r="20" s="60" customFormat="1" ht="15" customHeight="1">
      <x:c r="A20" s="61" t="n"/>
      <x:c r="B20" s="76" t="inlineStr">
        <x:is>
          <x:t xml:space="preserve">LTV:CAC базовый</x:t>
        </x:is>
      </x:c>
      <x:c r="D20" s="76" t="inlineStr">
        <x:is>
          <x:t xml:space="preserve">LTV:CAC реальный</x:t>
        </x:is>
      </x:c>
      <x:c r="F20" s="76" t="inlineStr">
        <x:is>
          <x:t xml:space="preserve">Цель</x:t>
        </x:is>
      </x:c>
      <x:c r="G20" s="61" t="n"/>
    </x:row>
    <x:row r="21" s="60" customFormat="1" ht="30" customHeight="1">
      <x:c r="A21" s="61" t="n"/>
      <x:c r="B21" s="77" t="inlineStr">
        <x:is>
          <x:t xml:space="preserve">5,63×</x:t>
        </x:is>
      </x:c>
      <x:c r="D21" s="78" t="inlineStr">
        <x:is>
          <x:t xml:space="preserve">3,99×</x:t>
        </x:is>
      </x:c>
      <x:c r="F21" s="79" t="inlineStr">
        <x:is>
          <x:t xml:space="preserve">≥ 3,0×</x:t>
        </x:is>
      </x:c>
      <x:c r="G21" s="61" t="n"/>
    </x:row>
    <x:row r="22" s="60" customFormat="1" ht="39" customHeight="1">
      <x:c r="A22" s="61" t="n"/>
      <x:c r="B22" s="75" t="str">
        <x:v>Pro-first: Self 490 / Pro 7 990 / Pro Спорт 19 990. Денежную экономику пилота не смешивать с нормализованной стоимостью замены основателя; подробности — 05, лист «Pro Спорт».</x:v>
      </x:c>
      <x:c r="G22" s="61" t="n"/>
    </x:row>
    <x:row r="23" s="60" customFormat="1" ht="6.75" customHeight="1">
      <x:c r="A23" s="61" t="n"/>
      <x:c r="G23" s="61" t="n"/>
    </x:row>
    <x:row r="24" s="60" customFormat="1" ht="19.5" customHeight="1">
      <x:c r="A24" s="61" t="n"/>
      <x:c r="B24" s="64" t="inlineStr">
        <x:is>
          <x:t xml:space="preserve">ПРИОРИТЕТЫ СЕЙЧАС (после внедрения Pro-first 2026-06-10)</x:t>
        </x:is>
      </x:c>
      <x:c r="C24" s="65" t="n"/>
      <x:c r="D24" s="65" t="n"/>
      <x:c r="E24" s="65" t="n"/>
      <x:c r="F24" s="65" t="n"/>
      <x:c r="G24" s="61" t="n"/>
    </x:row>
    <x:row r="25" s="60" customFormat="1" ht="18" customHeight="1">
      <x:c r="A25" s="61" t="n"/>
      <x:c r="B25" s="80" t="inlineStr">
        <x:is>
          <x:t xml:space="preserve">1.  Включение продаж Self: деплой heys-api-payments (лендинг 490 vs ЮKassa 2 990!), re-consent оферты v1.6, Self-гейтинг функций (~50%). До этого закреп П0 не публиковать.</x:t>
        </x:is>
      </x:c>
      <x:c r="G25" s="61" t="n"/>
    </x:row>
    <x:row r="26" s="60" customFormat="1" ht="18" customHeight="1">
      <x:c r="A26" s="61" t="n"/>
      <x:c r="B26" s="66" t="inlineStr">
        <x:is>
          <x:t xml:space="preserve">HEYS Старт: бот «Твой тип срыва» (17) + контур измеримости (18). Алгоритм зафиксирован: 6 вопросов → сегмент → заявка на неделю; дальше BotFather, webhook и события quiz_start/quiz_complete/week_request.</x:t>
        </x:is>
      </x:c>
      <x:c r="G26" s="61" t="n"/>
    </x:row>
    <x:row r="27" s="60" customFormat="1" ht="18" customHeight="1">
      <x:c r="A27" s="61" t="n"/>
      <x:c r="B27" s="80" t="inlineStr">
        <x:is>
          <x:t xml:space="preserve">Юрист/НПД не блокирует Ф0: договор внешнего куратора перенесён в 22 п.4.9 перед Ф1; сейчас фокус — ПДн/RKN gate и HEYS Старт.</x:t>
        </x:is>
      </x:c>
      <x:c r="G27" s="61" t="n"/>
    </x:row>
    <x:row r="28" s="60" customFormat="1" ht="18" customHeight="1">
      <x:c r="A28" s="61" t="n"/>
      <x:c r="B28" s="66" t="inlineStr">
        <x:is>
          <x:t xml:space="preserve">ERID закрыт: владелец назначен, регламент и шаблон посева — 33; дальше — поиск медэксперта по RFP 27.</x:t>
        </x:is>
      </x:c>
      <x:c r="G28" s="61" t="n"/>
    </x:row>
    <x:row r="29" s="60" customFormat="1" ht="6.75" customHeight="1">
      <x:c r="A29" s="61" t="n"/>
      <x:c r="G29" s="61" t="n"/>
    </x:row>
    <x:row r="30" s="60" customFormat="1" ht="19.5" customHeight="1">
      <x:c r="A30" s="61" t="n"/>
      <x:c r="B30" s="64" t="inlineStr">
        <x:is>
          <x:t xml:space="preserve">КАНАЛЫ</x:t>
        </x:is>
      </x:c>
      <x:c r="C30" s="65" t="n"/>
      <x:c r="D30" s="65" t="n"/>
      <x:c r="E30" s="65" t="n"/>
      <x:c r="F30" s="65" t="n"/>
      <x:c r="G30" s="61" t="n"/>
    </x:row>
    <x:row r="31" s="60" customFormat="1" ht="39" customHeight="1">
      <x:c r="A31" s="61" t="n"/>
      <x:c r="B31" s="66" t="inlineStr">
        <x:is>
          <x:t xml:space="preserve">Старт: Яндекс.Директ (горячий интент «как не срываться») + свой Telegram-контент. Далее: Telegram Ads/посевы, VK, РСЯ-ретаргет. Instagram-реклама — НЕТ.</x:t>
        </x:is>
      </x:c>
      <x:c r="G31" s="61" t="n"/>
    </x:row>
    <x:row r="32" s="60" customFormat="1" ht="6.75" customHeight="1">
      <x:c r="A32" s="61" t="n"/>
      <x:c r="G32" s="61" t="n"/>
    </x:row>
    <x:row r="33" s="60" customFormat="1" ht="19.5" customHeight="1">
      <x:c r="A33" s="61" t="n"/>
      <x:c r="B33" s="64" t="inlineStr">
        <x:is>
          <x:t xml:space="preserve">ВОРОНКА — ЦЕЛИ</x:t>
        </x:is>
      </x:c>
      <x:c r="C33" s="65" t="n"/>
      <x:c r="D33" s="65" t="n"/>
      <x:c r="E33" s="65" t="n"/>
      <x:c r="F33" s="65" t="n"/>
      <x:c r="G33" s="61" t="n"/>
    </x:row>
    <x:row r="34" s="60" customFormat="1" ht="24" customHeight="1">
      <x:c r="A34" s="61" t="n"/>
      <x:c r="B34" s="66" t="inlineStr">
        <x:is>
          <x:t xml:space="preserve">лид→триал ≥ 40%     триал→оплата ≥ 30%     отток ≤ 8–10%/мес     SLA ≤ 5%     ERID 100%</x:t>
        </x:is>
      </x:c>
      <x:c r="G34" s="61" t="n"/>
    </x:row>
    <x:row r="35" s="60" customFormat="1" ht="6.75" customHeight="1">
      <x:c r="A35" s="61" t="n"/>
      <x:c r="G35" s="61" t="n"/>
    </x:row>
    <x:row r="36" s="60" customFormat="1" ht="19.5" customHeight="1">
      <x:c r="A36" s="61" t="n"/>
      <x:c r="B36" s="64" t="inlineStr">
        <x:is>
          <x:t xml:space="preserve">ПЛАН 90 ДНЕЙ</x:t>
        </x:is>
      </x:c>
      <x:c r="C36" s="65" t="n"/>
      <x:c r="D36" s="65" t="n"/>
      <x:c r="E36" s="65" t="n"/>
      <x:c r="F36" s="65" t="n"/>
      <x:c r="G36" s="61" t="n"/>
    </x:row>
    <x:row r="37" s="60" customFormat="1" ht="39" customHeight="1">
      <x:c r="A37" s="61" t="n"/>
      <x:c r="B37" s="66" t="inlineStr">
        <x:is>
          <x:t xml:space="preserve">Ф1 (0–30): фундамент + ручной тёплый трафик.   Ф2 (31–60): Яндекс.Директ, найти CPL.   Ф3 (61–90): масштаб + Telegram + рефералы.</x:t>
        </x:is>
      </x:c>
      <x:c r="G37" s="61" t="n"/>
    </x:row>
    <x:row r="38" s="60" customFormat="1" ht="6.75" customHeight="1">
      <x:c r="A38" s="61" t="n"/>
      <x:c r="G38" s="61" t="n"/>
    </x:row>
    <x:row r="39" s="60" customFormat="1" ht="19.5" customHeight="1">
      <x:c r="A39" s="61" t="n"/>
      <x:c r="B39" s="64" t="inlineStr">
        <x:is>
          <x:t xml:space="preserve">ПРАВИЛО РОСТА</x:t>
        </x:is>
      </x:c>
      <x:c r="C39" s="65" t="n"/>
      <x:c r="D39" s="65" t="n"/>
      <x:c r="E39" s="65" t="n"/>
      <x:c r="F39" s="65" t="n"/>
      <x:c r="G39" s="61" t="n"/>
    </x:row>
    <x:row r="40" s="60" customFormat="1" ht="39" customHeight="1">
      <x:c r="A40" s="61" t="n"/>
      <x:c r="B40" s="81" t="inlineStr">
        <x:is>
          <x:t xml:space="preserve">Объём маркетинга = ёмкость кураторов, а не размер бюджета. Найм опережает закупку трафика.</x:t>
        </x:is>
      </x:c>
      <x:c r="G40" s="61" t="n"/>
    </x:row>
    <x:row r="41" s="60" customFormat="1" ht="6.75" customHeight="1">
      <x:c r="A41" s="61" t="n"/>
      <x:c r="G41" s="61" t="n"/>
    </x:row>
    <x:row r="42" s="60" customFormat="1" ht="19.5" customHeight="1">
      <x:c r="A42" s="61" t="n"/>
      <x:c r="B42" s="64" t="inlineStr">
        <x:is>
          <x:t xml:space="preserve">ФАЙЛЫ ПАКЕТА</x:t>
        </x:is>
      </x:c>
      <x:c r="C42" s="65" t="n"/>
      <x:c r="D42" s="65" t="n"/>
      <x:c r="E42" s="65" t="n"/>
      <x:c r="F42" s="65" t="n"/>
      <x:c r="G42" s="61" t="n"/>
    </x:row>
    <x:row r="43" s="60" customFormat="1" ht="54" customHeight="1">
      <x:c r="A43" s="61" t="n"/>
      <x:c r="B43" s="82" t="inlineStr">
        <x:is>
          <x:t xml:space="preserve">00 панель · 01 рынок · 02 SWOT · 03 каналы · 04 план · 05 финмодель · 06/12/16 конкурентка (навигатор — 26) · 07 креативы · 08 воронка · 09 кураторы · 10 слепые зоны · 11 фазы цены · 13 AI · 14 Telegram · 15 ревизия (истина) · 17 бот · 18 измеримость · 19 Pro-first · 20 AI-MVP · 21 данные&gt;AI · 22 план реализации · 23 плейбук · 24 посты · 25 roadmap Ф0→Ф1 · 27 RFP медэксперта · 28 post-mortem</x:t>
        </x:is>
      </x:c>
      <x:c r="G43" s="61" t="n"/>
    </x:row>
    <x:row r="44" s="60" customFormat="1" ht="15" customHeight="1">
      <x:c r="A44" s="61" t="n"/>
      <x:c r="G44" s="61" t="n"/>
    </x:row>
  </x:sheetData>
  <x:mergeCells>
    <x:mergeCell ref="B4:F4"/>
    <x:mergeCell ref="D20:E20"/>
    <x:mergeCell ref="B7:F7"/>
    <x:mergeCell ref="B25:F25"/>
    <x:mergeCell ref="B31:F31"/>
    <x:mergeCell ref="B22:F22"/>
    <x:mergeCell ref="B27:F27"/>
    <x:mergeCell ref="D21:E21"/>
    <x:mergeCell ref="B43:F43"/>
    <x:mergeCell ref="B21:C21"/>
    <x:mergeCell ref="B39:F39"/>
    <x:mergeCell ref="B2:F2"/>
    <x:mergeCell ref="B42:F42"/>
    <x:mergeCell ref="B1:F1"/>
    <x:mergeCell ref="B8:F8"/>
    <x:mergeCell ref="B17:F17"/>
    <x:mergeCell ref="B34:F34"/>
    <x:mergeCell ref="B10:F10"/>
    <x:mergeCell ref="B28:F28"/>
    <x:mergeCell ref="B19:F19"/>
    <x:mergeCell ref="B37:F37"/>
    <x:mergeCell ref="B40:F40"/>
    <x:mergeCell ref="B30:F30"/>
    <x:mergeCell ref="B24:F24"/>
    <x:mergeCell ref="B33:F33"/>
    <x:mergeCell ref="B20:C20"/>
    <x:mergeCell ref="B5:F5"/>
    <x:mergeCell ref="B36:F36"/>
    <x:mergeCell ref="B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171875" defaultRowHeight="15"/>
  <x:cols>
    <x:col min="1" max="1" width="22" style="59" customWidth="1"/>
    <x:col min="2" max="2" width="18" style="59" customWidth="1"/>
    <x:col min="3" max="3" width="17" style="59" customWidth="1"/>
    <x:col min="4" max="4" width="16" style="59" customWidth="1"/>
    <x:col min="5" max="6" width="15" style="59" customWidth="1"/>
  </x:cols>
  <x:sheetData>
    <x:row r="1" s="60" customFormat="1" ht="25.5" customHeight="1">
      <x:c r="A1" s="83" t="inlineStr">
        <x:is>
          <x:t xml:space="preserve">Конкуренты · CalZen и др. · что перенять</x:t>
        </x:is>
      </x:c>
    </x:row>
    <x:row r="2" s="60" customFormat="1" ht="15" customHeight="1">
      <x:c r="A2" s="84" t="inlineStr">
        <x:is>
          <x:t xml:space="preserve">Снапшот 2026-06-10 · детали в 12_Конкуренты_сводная_таблица.md (навигатор — 26)</x:t>
        </x:is>
      </x:c>
    </x:row>
    <x:row r="3" s="60" customFormat="1" ht="15" customHeight="1"/>
    <x:row r="4" s="60" customFormat="1" ht="15.75" customHeight="1">
      <x:c r="A4" s="85" t="inlineStr">
        <x:is>
          <x:t xml:space="preserve">CALZEN — КОРОТКО</x:t>
        </x:is>
      </x:c>
    </x:row>
    <x:row r="5" s="60" customFormat="1" ht="45" customHeight="1">
      <x:c r="A5" s="86" t="inlineStr">
        <x:is>
          <x:t xml:space="preserve">AI-счётчик калорий по фото (3 сек, без весов). ~$10/мес фрименим. 3 млн+ польз., 4.8★. Натив iOS/Android. Сила: скорость ввода + доказательная база. Слабость: НЕТ живого человека (их же стат: 80% бросают трекер в 1-ю неделю).</x:t>
        </x:is>
      </x:c>
    </x:row>
    <x:row r="6" s="60" customFormat="1" ht="15" customHeight="1"/>
    <x:row r="7" s="60" customFormat="1" ht="15" customHeight="1"/>
    <x:row r="8" s="60" customFormat="1" ht="15.75" customHeight="1">
      <x:c r="A8" s="85" t="inlineStr">
        <x:is>
          <x:t xml:space="preserve">СВОДНАЯ ТАБЛИЦА</x:t>
        </x:is>
      </x:c>
    </x:row>
    <x:row r="9" s="60" customFormat="1" ht="15" customHeight="1">
      <x:c r="A9" s="87" t="inlineStr">
        <x:is>
          <x:t xml:space="preserve">Критерий</x:t>
        </x:is>
      </x:c>
      <x:c r="B9" s="87" t="inlineStr">
        <x:is>
          <x:t xml:space="preserve">HEYS</x:t>
        </x:is>
      </x:c>
      <x:c r="C9" s="87" t="inlineStr">
        <x:is>
          <x:t xml:space="preserve">CalZen</x:t>
        </x:is>
      </x:c>
      <x:c r="D9" s="87" t="inlineStr">
        <x:is>
          <x:t xml:space="preserve">Трекеры</x:t>
        </x:is>
      </x:c>
      <x:c r="E9" s="87" t="inlineStr">
        <x:is>
          <x:t xml:space="preserve">Марафоны</x:t>
        </x:is>
      </x:c>
      <x:c r="F9" s="87" t="inlineStr">
        <x:is>
          <x:t xml:space="preserve">Нутрициолог 1:1</x:t>
        </x:is>
      </x:c>
    </x:row>
    <x:row r="10" s="60" customFormat="1" ht="25.5" customHeight="1">
      <x:c r="A10" s="88" t="inlineStr">
        <x:is>
          <x:t xml:space="preserve">Суть</x:t>
        </x:is>
      </x:c>
      <x:c r="B10" s="89" t="inlineStr">
        <x:is>
          <x:t xml:space="preserve">Прил.+куратор</x:t>
        </x:is>
      </x:c>
      <x:c r="C10" s="90" t="inlineStr">
        <x:is>
          <x:t xml:space="preserve">AI-трекер фото</x:t>
        </x:is>
      </x:c>
      <x:c r="D10" s="90" t="inlineStr">
        <x:is>
          <x:t xml:space="preserve">Ручной КБЖУ</x:t>
        </x:is>
      </x:c>
      <x:c r="E10" s="90" t="inlineStr">
        <x:is>
          <x:t xml:space="preserve">Курс-поток</x:t>
        </x:is>
      </x:c>
      <x:c r="F10" s="90" t="inlineStr">
        <x:is>
          <x:t xml:space="preserve">Консультации</x:t>
        </x:is>
      </x:c>
    </x:row>
    <x:row r="11" s="60" customFormat="1" ht="25.5" customHeight="1">
      <x:c r="A11" s="88" t="inlineStr">
        <x:is>
          <x:t xml:space="preserve">Цена/мес</x:t>
        </x:is>
      </x:c>
      <x:c r="B11" s="89" t="inlineStr">
        <x:is>
          <x:t xml:space="preserve">Self 490 / Pro 7 990* / Pro+ 14 990 ₽</x:t>
        </x:is>
      </x:c>
      <x:c r="C11" s="90" t="inlineStr">
        <x:is>
          <x:t xml:space="preserve">~900 ₽</x:t>
        </x:is>
      </x:c>
      <x:c r="D11" s="90" t="inlineStr">
        <x:is>
          <x:t xml:space="preserve">0–500 ₽</x:t>
        </x:is>
      </x:c>
      <x:c r="E11" s="90" t="inlineStr">
        <x:is>
          <x:t xml:space="preserve">1,5–7 тыс/поток</x:t>
        </x:is>
      </x:c>
      <x:c r="F11" s="90" t="inlineStr">
        <x:is>
          <x:t xml:space="preserve">25–50 тыс+</x:t>
        </x:is>
      </x:c>
    </x:row>
    <x:row r="12" s="60" customFormat="1" ht="25.5" customHeight="1">
      <x:c r="A12" s="88" t="inlineStr">
        <x:is>
          <x:t xml:space="preserve">Ввод еды</x:t>
        </x:is>
      </x:c>
      <x:c r="B12" s="89" t="inlineStr">
        <x:is>
          <x:t xml:space="preserve">Фото→куратор вручную</x:t>
        </x:is>
      </x:c>
      <x:c r="C12" s="90" t="inlineStr">
        <x:is>
          <x:t xml:space="preserve">Фото→AI 3 сек</x:t>
        </x:is>
      </x:c>
      <x:c r="D12" s="90" t="inlineStr">
        <x:is>
          <x:t xml:space="preserve">Вручную</x:t>
        </x:is>
      </x:c>
      <x:c r="E12" s="90" t="inlineStr">
        <x:is>
          <x:t xml:space="preserve">Меню в чате</x:t>
        </x:is>
      </x:c>
      <x:c r="F12" s="90" t="inlineStr">
        <x:is>
          <x:t xml:space="preserve">Вручную</x:t>
        </x:is>
      </x:c>
    </x:row>
    <x:row r="13" s="60" customFormat="1" ht="25.5" customHeight="1">
      <x:c r="A13" s="88" t="inlineStr">
        <x:is>
          <x:t xml:space="preserve">Живой человек</x:t>
        </x:is>
      </x:c>
      <x:c r="B13" s="89" t="inlineStr">
        <x:is>
          <x:t xml:space="preserve">Да, ежедневно</x:t>
        </x:is>
      </x:c>
      <x:c r="C13" s="90" t="inlineStr">
        <x:is>
          <x:t xml:space="preserve">Нет</x:t>
        </x:is>
      </x:c>
      <x:c r="D13" s="90" t="inlineStr">
        <x:is>
          <x:t xml:space="preserve">Нет</x:t>
        </x:is>
      </x:c>
      <x:c r="E13" s="90" t="inlineStr">
        <x:is>
          <x:t xml:space="preserve">На поток</x:t>
        </x:is>
      </x:c>
      <x:c r="F13" s="90" t="inlineStr">
        <x:is>
          <x:t xml:space="preserve">Эпизодически</x:t>
        </x:is>
      </x:c>
    </x:row>
    <x:row r="14" s="60" customFormat="1" ht="25.5" customHeight="1">
      <x:c r="A14" s="88" t="inlineStr">
        <x:is>
          <x:t xml:space="preserve">Анти-срыв</x:t>
        </x:is>
      </x:c>
      <x:c r="B14" s="89" t="inlineStr">
        <x:is>
          <x:t xml:space="preserve">Да</x:t>
        </x:is>
      </x:c>
      <x:c r="C14" s="90" t="inlineStr">
        <x:is>
          <x:t xml:space="preserve">Нет</x:t>
        </x:is>
      </x:c>
      <x:c r="D14" s="90" t="inlineStr">
        <x:is>
          <x:t xml:space="preserve">Нет</x:t>
        </x:is>
      </x:c>
      <x:c r="E14" s="90" t="inlineStr">
        <x:is>
          <x:t xml:space="preserve">Слабо</x:t>
        </x:is>
      </x:c>
      <x:c r="F14" s="90" t="inlineStr">
        <x:is>
          <x:t xml:space="preserve">Нет</x:t>
        </x:is>
      </x:c>
    </x:row>
    <x:row r="15" s="60" customFormat="1" ht="25.5" customHeight="1">
      <x:c r="A15" s="88" t="inlineStr">
        <x:is>
          <x:t xml:space="preserve">Платформа</x:t>
        </x:is>
      </x:c>
      <x:c r="B15" s="89" t="inlineStr">
        <x:is>
          <x:t xml:space="preserve">PWA</x:t>
        </x:is>
      </x:c>
      <x:c r="C15" s="90" t="inlineStr">
        <x:is>
          <x:t xml:space="preserve">iOS/Android</x:t>
        </x:is>
      </x:c>
      <x:c r="D15" s="90" t="inlineStr">
        <x:is>
          <x:t xml:space="preserve">Натив</x:t>
        </x:is>
      </x:c>
      <x:c r="E15" s="90" t="inlineStr">
        <x:is>
          <x:t xml:space="preserve">Telegram</x:t>
        </x:is>
      </x:c>
      <x:c r="F15" s="90" t="inlineStr">
        <x:is>
          <x:t xml:space="preserve">—</x:t>
        </x:is>
      </x:c>
    </x:row>
    <x:row r="16" s="60" customFormat="1" ht="25.5" customHeight="1">
      <x:c r="A16" s="88" t="inlineStr">
        <x:is>
          <x:t xml:space="preserve">Пруф / масштаб</x:t>
        </x:is>
      </x:c>
      <x:c r="B16" s="89" t="inlineStr">
        <x:is>
          <x:t xml:space="preserve">Старт</x:t>
        </x:is>
      </x:c>
      <x:c r="C16" s="90" t="inlineStr">
        <x:is>
          <x:t xml:space="preserve">3М, 4.8★</x:t>
        </x:is>
      </x:c>
      <x:c r="D16" s="90" t="inlineStr">
        <x:is>
          <x:t xml:space="preserve">Большой</x:t>
        </x:is>
      </x:c>
      <x:c r="E16" s="90" t="inlineStr">
        <x:is>
          <x:t xml:space="preserve">Отзывы</x:t>
        </x:is>
      </x:c>
      <x:c r="F16" s="90" t="inlineStr">
        <x:is>
          <x:t xml:space="preserve">Сарафан</x:t>
        </x:is>
      </x:c>
    </x:row>
    <x:row r="17" s="60" customFormat="1" ht="25.5" customHeight="1">
      <x:c r="A17" s="88" t="inlineStr">
        <x:is>
          <x:t xml:space="preserve">Данные в РФ (152-ФЗ)</x:t>
        </x:is>
      </x:c>
      <x:c r="B17" s="89" t="inlineStr">
        <x:is>
          <x:t xml:space="preserve">Да</x:t>
        </x:is>
      </x:c>
      <x:c r="C17" s="90" t="inlineStr">
        <x:is>
          <x:t xml:space="preserve">Нет</x:t>
        </x:is>
      </x:c>
      <x:c r="D17" s="90" t="inlineStr">
        <x:is>
          <x:t xml:space="preserve">Нет</x:t>
        </x:is>
      </x:c>
      <x:c r="E17" s="90" t="inlineStr">
        <x:is>
          <x:t xml:space="preserve">Разное</x:t>
        </x:is>
      </x:c>
      <x:c r="F17" s="90" t="inlineStr">
        <x:is>
          <x:t xml:space="preserve">Да</x:t>
        </x:is>
      </x:c>
    </x:row>
    <x:row r="18" s="60" customFormat="1" ht="25.5" customHeight="1">
      <x:c r="A18" s="88" t="inlineStr">
        <x:is>
          <x:t xml:space="preserve">Главная сила</x:t>
        </x:is>
      </x:c>
      <x:c r="B18" s="89" t="inlineStr">
        <x:is>
          <x:t xml:space="preserve">Человек+анти-срыв</x:t>
        </x:is>
      </x:c>
      <x:c r="C18" s="90" t="inlineStr">
        <x:is>
          <x:t xml:space="preserve">Скорость+пруф</x:t>
        </x:is>
      </x:c>
      <x:c r="D18" s="90" t="inlineStr">
        <x:is>
          <x:t xml:space="preserve">Бесплатно</x:t>
        </x:is>
      </x:c>
      <x:c r="E18" s="90" t="inlineStr">
        <x:is>
          <x:t xml:space="preserve">Дёшево</x:t>
        </x:is>
      </x:c>
      <x:c r="F18" s="90" t="inlineStr">
        <x:is>
          <x:t xml:space="preserve">Глубина 1:1</x:t>
        </x:is>
      </x:c>
    </x:row>
    <x:row r="19" s="60" customFormat="1" ht="25.5" customHeight="1">
      <x:c r="A19" s="88" t="inlineStr">
        <x:is>
          <x:t xml:space="preserve">Главная слабость</x:t>
        </x:is>
      </x:c>
      <x:c r="B19" s="89" t="inlineStr">
        <x:is>
          <x:t xml:space="preserve">Ввод вручную</x:t>
        </x:is>
      </x:c>
      <x:c r="C19" s="90" t="inlineStr">
        <x:is>
          <x:t xml:space="preserve">Нет человека</x:t>
        </x:is>
      </x:c>
      <x:c r="D19" s="90" t="inlineStr">
        <x:is>
          <x:t xml:space="preserve">Бросают</x:t>
        </x:is>
      </x:c>
      <x:c r="E19" s="90" t="inlineStr">
        <x:is>
          <x:t xml:space="preserve">Отток</x:t>
        </x:is>
      </x:c>
      <x:c r="F19" s="90" t="inlineStr">
        <x:is>
          <x:t xml:space="preserve">Дорого</x:t>
        </x:is>
      </x:c>
    </x:row>
    <x:row r="20" s="60" customFormat="1" ht="15" customHeight="1"/>
    <x:row r="21" s="60" customFormat="1" ht="15.75" customHeight="1">
      <x:c r="A21" s="85" t="inlineStr">
        <x:is>
          <x:t xml:space="preserve">ЛЕНДИНГИ: CALZEN vs НАШ (отдельная категория)</x:t>
        </x:is>
      </x:c>
    </x:row>
    <x:row r="22" s="60" customFormat="1" ht="15" customHeight="1">
      <x:c r="A22" s="91" t="inlineStr">
        <x:is>
          <x:t xml:space="preserve">Блок</x:t>
        </x:is>
      </x:c>
      <x:c r="B22" s="91" t="inlineStr">
        <x:is>
          <x:t xml:space="preserve">CalZen</x:t>
        </x:is>
      </x:c>
      <x:c r="C22" s="92" t="n"/>
      <x:c r="D22" s="91" t="inlineStr">
        <x:is>
          <x:t xml:space="preserve">Наш</x:t>
        </x:is>
      </x:c>
      <x:c r="E22" s="91" t="inlineStr">
        <x:is>
          <x:t xml:space="preserve">Что перенять</x:t>
        </x:is>
      </x:c>
      <x:c r="F22" s="92" t="n"/>
    </x:row>
    <x:row r="23" s="60" customFormat="1" ht="27.75" customHeight="1">
      <x:c r="A23" s="88" t="inlineStr">
        <x:is>
          <x:t xml:space="preserve">Hero / посыл</x:t>
        </x:is>
      </x:c>
      <x:c r="B23" s="90" t="inlineStr">
        <x:is>
          <x:t xml:space="preserve">Outcome + боль угадывания</x:t>
        </x:is>
      </x:c>
      <x:c r="C23" s="92" t="n"/>
      <x:c r="D23" s="90" t="inlineStr">
        <x:is>
          <x:t xml:space="preserve">Эмпатия, «без насилия»</x:t>
        </x:is>
      </x:c>
      <x:c r="E23" s="93" t="inlineStr">
        <x:is>
          <x:t xml:space="preserve">Усилить измеримость обещания</x:t>
        </x:is>
      </x:c>
      <x:c r="F23" s="92" t="n"/>
    </x:row>
    <x:row r="24" s="60" customFormat="1" ht="27.75" customHeight="1">
      <x:c r="A24" s="88" t="inlineStr">
        <x:is>
          <x:t xml:space="preserve">Пруф над сгибом</x:t>
        </x:is>
      </x:c>
      <x:c r="B24" s="90" t="inlineStr">
        <x:is>
          <x:t xml:space="preserve">4.8★ / 3 млн / бэйджи — сразу</x:t>
        </x:is>
      </x:c>
      <x:c r="C24" s="92" t="n"/>
      <x:c r="D24" s="90" t="inlineStr">
        <x:is>
          <x:t xml:space="preserve">Отзывы ниже по странице</x:t>
        </x:is>
      </x:c>
      <x:c r="E24" s="93" t="inlineStr">
        <x:is>
          <x:t xml:space="preserve">Поднять пруф выше</x:t>
        </x:is>
      </x:c>
      <x:c r="F24" s="92" t="n"/>
    </x:row>
    <x:row r="25" s="60" customFormat="1" ht="27.75" customHeight="1">
      <x:c r="A25" s="88" t="inlineStr">
        <x:is>
          <x:t xml:space="preserve">Как работает</x:t>
        </x:is>
      </x:c>
      <x:c r="B25" s="90" t="inlineStr">
        <x:is>
          <x:t xml:space="preserve">3 шага + тайминги + стат «80% бросают»</x:t>
        </x:is>
      </x:c>
      <x:c r="C25" s="92" t="n"/>
      <x:c r="D25" s="90" t="inlineStr">
        <x:is>
          <x:t xml:space="preserve">3 шага без цифр</x:t>
        </x:is>
      </x:c>
      <x:c r="E25" s="93" t="inlineStr">
        <x:is>
          <x:t xml:space="preserve">Тайминги + перевернуть стат в свою пользу</x:t>
        </x:is>
      </x:c>
      <x:c r="F25" s="92" t="n"/>
    </x:row>
    <x:row r="26" s="60" customFormat="1" ht="27.75" customHeight="1">
      <x:c r="A26" s="88" t="inlineStr">
        <x:is>
          <x:t xml:space="preserve">Демо продукта</x:t>
        </x:is>
      </x:c>
      <x:c r="B26" s="90" t="inlineStr">
        <x:is>
          <x:t xml:space="preserve">Богатые мокапы UI</x:t>
        </x:is>
      </x:c>
      <x:c r="C26" s="92" t="n"/>
      <x:c r="D26" s="90" t="inlineStr">
        <x:is>
          <x:t xml:space="preserve">Скромно, «пара экранов»</x:t>
        </x:is>
      </x:c>
      <x:c r="E26" s="93" t="inlineStr">
        <x:is>
          <x:t xml:space="preserve">Показать «фото→куратор внёс»</x:t>
        </x:is>
      </x:c>
      <x:c r="F26" s="92" t="n"/>
    </x:row>
    <x:row r="27" s="60" customFormat="1" ht="27.75" customHeight="1">
      <x:c r="A27" s="88" t="inlineStr">
        <x:is>
          <x:t xml:space="preserve">Доверие / цитаты</x:t>
        </x:is>
      </x:c>
      <x:c r="B27" s="90" t="inlineStr">
        <x:is>
          <x:t xml:space="preserve">Научные ссылки, «90%»</x:t>
        </x:is>
      </x:c>
      <x:c r="C27" s="92" t="n"/>
      <x:c r="D27" s="90" t="inlineStr">
        <x:is>
          <x:t xml:space="preserve">«Не медуслуга», 152-ФЗ</x:t>
        </x:is>
      </x:c>
      <x:c r="E27" s="93" t="inlineStr">
        <x:is>
          <x:t xml:space="preserve">+ медэксперт и методология (CRS/41 паттерн)</x:t>
        </x:is>
      </x:c>
      <x:c r="F27" s="92" t="n"/>
    </x:row>
    <x:row r="28" s="60" customFormat="1" ht="27.75" customHeight="1">
      <x:c r="A28" s="88" t="inlineStr">
        <x:is>
          <x:t xml:space="preserve">CTA / трение</x:t>
        </x:is>
      </x:c>
      <x:c r="B28" s="90" t="inlineStr">
        <x:is>
          <x:t xml:space="preserve">Скачать, 3 дня, мгновенно</x:t>
        </x:is>
      </x:c>
      <x:c r="C28" s="92" t="n"/>
      <x:c r="D28" s="90" t="inlineStr">
        <x:is>
          <x:t xml:space="preserve">7 дней, без карты, по записи</x:t>
        </x:is>
      </x:c>
      <x:c r="E28" s="93" t="inlineStr">
        <x:is>
          <x:t xml:space="preserve">Оставить (премиум); risk-reversal к тарифам</x:t>
        </x:is>
      </x:c>
      <x:c r="F28" s="92" t="n"/>
    </x:row>
    <x:row r="29" s="60" customFormat="1" ht="27.75" customHeight="1">
      <x:c r="A29" s="88" t="inlineStr">
        <x:is>
          <x:t xml:space="preserve">SEO-актив</x:t>
        </x:is>
      </x:c>
      <x:c r="B29" s="90" t="inlineStr">
        <x:is>
          <x:t xml:space="preserve">Калькуляторы TDEE/BMI</x:t>
        </x:is>
      </x:c>
      <x:c r="C29" s="92" t="n"/>
      <x:c r="D29" s="90" t="inlineStr">
        <x:is>
          <x:t xml:space="preserve">Нет</x:t>
        </x:is>
      </x:c>
      <x:c r="E29" s="93" t="inlineStr">
        <x:is>
          <x:t xml:space="preserve">Сделать калькуляторы</x:t>
        </x:is>
      </x:c>
      <x:c r="F29" s="92" t="n"/>
    </x:row>
    <x:row r="30" s="60" customFormat="1" ht="27.75" customHeight="1">
      <x:c r="A30" s="88" t="inlineStr">
        <x:is>
          <x:t xml:space="preserve">Платформа-пруф</x:t>
        </x:is>
      </x:c>
      <x:c r="B30" s="90" t="inlineStr">
        <x:is>
          <x:t xml:space="preserve">Бэйджи сторов + рейтинги</x:t>
        </x:is>
      </x:c>
      <x:c r="C30" s="92" t="n"/>
      <x:c r="D30" s="90" t="inlineStr">
        <x:is>
          <x:t xml:space="preserve">PWA — нет</x:t>
        </x:is>
      </x:c>
      <x:c r="E30" s="93" t="inlineStr">
        <x:is>
          <x:t xml:space="preserve">RuStore / нативное приложение</x:t>
        </x:is>
      </x:c>
      <x:c r="F30" s="92" t="n"/>
    </x:row>
    <x:row r="31" s="60" customFormat="1" ht="15" customHeight="1"/>
    <x:row r="32" s="60" customFormat="1" ht="15.75" customHeight="1">
      <x:c r="A32" s="85" t="inlineStr">
        <x:is>
          <x:t xml:space="preserve">ТОП-5 ЧТО ПЕРЕНЯТЬ В ПРОДУКТ</x:t>
        </x:is>
      </x:c>
    </x:row>
    <x:row r="33" s="60" customFormat="1" ht="30" customHeight="1">
      <x:c r="A33" s="86" t="inlineStr">
        <x:is>
          <x:t xml:space="preserve">1. Пруф-инфраструктура для лендинга: реальные рейтинги/отзывы, лица специалистов, методология, научные ссылки, процессные кейсы. [РЕЛИЗ]</x:t>
        </x:is>
      </x:c>
    </x:row>
    <x:row r="34" s="60" customFormat="1" ht="15" customHeight="1"/>
    <x:row r="35" s="60" customFormat="1" ht="30" customHeight="1">
      <x:c r="A35" s="86" t="inlineStr">
        <x:is>
          <x:t xml:space="preserve">2. SEO-калькуляторы после релиза: TDEE, BMI, дефицит, калории блюд — бесплатный верх воронки. [ПОСЛЕ РЕЛИЗА]</x:t>
        </x:is>
      </x:c>
    </x:row>
    <x:row r="36" s="60" customFormat="1" ht="15" customHeight="1"/>
    <x:row r="37" s="60" customFormat="1" ht="30" customHeight="1">
      <x:c r="A37" s="86" t="inlineStr">
        <x:is>
          <x:t xml:space="preserve">3. AI-ввод еды по фото / штрихкоду — отдельный R&amp;D после релиза; не обещание Pro-Ф0. [ПОСЛЕ РЕЛИЗА]</x:t>
        </x:is>
      </x:c>
    </x:row>
    <x:row r="38" s="60" customFormat="1" ht="15" customHeight="1"/>
    <x:row r="39" s="60" customFormat="1" ht="30" customHeight="1">
      <x:c r="A39" s="86" t="inlineStr">
        <x:is>
          <x:t xml:space="preserve">4. Нативное приложение / RuStore — сторовые рейтинги, бейджи и доверие; после первых данных. [ПОСЛЕ РЕЛИЗА]</x:t>
        </x:is>
      </x:c>
    </x:row>
    <x:row r="40" s="60" customFormat="1" ht="15" customHeight="1"/>
    <x:row r="41" s="60" customFormat="1" ht="30" customHeight="1">
      <x:c r="A41" s="86" t="n"/>
    </x:row>
    <x:row r="42" s="60" customFormat="1" ht="15" customHeight="1"/>
    <x:row r="43" s="60" customFormat="1" ht="15.75" customHeight="1">
      <x:c r="A43" s="85" t="inlineStr">
        <x:is>
          <x:t xml:space="preserve">ЧЕГО НЕ КОПИРОВАТЬ</x:t>
        </x:is>
      </x:c>
    </x:row>
    <x:row r="44" s="60" customFormat="1" ht="30" customHeight="1">
      <x:c r="A44" s="94" t="inlineStr">
        <x:is>
          <x:t xml:space="preserve">Масс-маркет тон, эмодзи-стиль, обещания «−N кг», чистый self-serve без человека. Наш ров — живой человек; AI-ввод берём, чтобы куратор был эффективнее, а не чтобы его убрать.</x:t>
        </x:is>
      </x:c>
    </x:row>
    <x:row r="45" s="60" customFormat="1" ht="15" customHeight="1"/>
    <x:row r="46">
      <x:c r="A46" s="59" t="inlineStr">
        <x:is>
          <x:t xml:space="preserve">ГЛУБОКИЙ АУДИТ 2026-06-10 (детали — 29_Аудит_конкурентов_глубокий.md)</x:t>
        </x:is>
      </x:c>
    </x:row>
    <x:row r="47">
      <x:c r="A47" s="59" t="inlineStr">
        <x:is>
          <x:t xml:space="preserve">Слот «живой человек ЕЖЕДНЕВНО + персонально + КБЖУ-дневник» — ПУСТ глобально и в РФ. HEYS Pro 7 990 ₽ = треть Sekta-куратора, четверть частного нутрициолога.</x:t>
        </x:is>
      </x:c>
    </x:row>
    <x:row r="49">
      <x:c r="A49" s="59" t="inlineStr">
        <x:is>
          <x:t xml:space="preserve">КАРТА «ЖИВОЙ ЧЕЛОВЕК» (приложения)</x:t>
        </x:is>
      </x:c>
    </x:row>
    <x:row r="50">
      <x:c r="A50" s="59" t="inlineStr">
        <x:is>
          <x:t xml:space="preserve">Игрок</x:t>
        </x:is>
      </x:c>
      <x:c r="B50" s="59" t="inlineStr">
        <x:is>
          <x:t xml:space="preserve">Человек</x:t>
        </x:is>
      </x:c>
      <x:c r="C50" s="59" t="inlineStr">
        <x:is>
          <x:t xml:space="preserve">Частота</x:t>
        </x:is>
      </x:c>
      <x:c r="D50" s="59" t="inlineStr">
        <x:is>
          <x:t xml:space="preserve">Цена/мес</x:t>
        </x:is>
      </x:c>
      <x:c r="E50" s="59" t="inlineStr">
        <x:is>
          <x:t xml:space="preserve">РФ-оплата</x:t>
        </x:is>
      </x:c>
    </x:row>
    <x:row r="51">
      <x:c r="A51" s="59" t="inlineStr">
        <x:is>
          <x:t xml:space="preserve">HEYS Pro</x:t>
        </x:is>
      </x:c>
      <x:c r="B51" s="59" t="inlineStr">
        <x:is>
          <x:t xml:space="preserve">куратор, персонально</x:t>
        </x:is>
      </x:c>
      <x:c r="C51" s="59" t="inlineStr">
        <x:is>
          <x:t xml:space="preserve">ежедневно 7/7</x:t>
        </x:is>
      </x:c>
      <x:c r="D51" s="59" t="inlineStr">
        <x:is>
          <x:t xml:space="preserve">7 990 ₽</x:t>
        </x:is>
      </x:c>
      <x:c r="E51" s="59" t="inlineStr">
        <x:is>
          <x:t xml:space="preserve">да</x:t>
        </x:is>
      </x:c>
    </x:row>
    <x:row r="52">
      <x:c r="A52" s="59" t="inlineStr">
        <x:is>
          <x:t xml:space="preserve">Dietology.live</x:t>
        </x:is>
      </x:c>
      <x:c r="B52" s="59" t="inlineStr">
        <x:is>
          <x:t xml:space="preserve">нутрициолог</x:t>
        </x:is>
      </x:c>
      <x:c r="C52" s="59" t="inlineStr">
        <x:is>
          <x:t xml:space="preserve">заявлено ежедневно, без КБЖУ</x:t>
        </x:is>
      </x:c>
      <x:c r="D52" s="59" t="inlineStr">
        <x:is>
          <x:t xml:space="preserve">скрыта (~23–35К)</x:t>
        </x:is>
      </x:c>
      <x:c r="E52" s="59" t="inlineStr">
        <x:is>
          <x:t xml:space="preserve">да</x:t>
        </x:is>
      </x:c>
    </x:row>
    <x:row r="53">
      <x:c r="A53" s="59" t="inlineStr">
        <x:is>
          <x:t xml:space="preserve">Sekta (куратор)</x:t>
        </x:is>
      </x:c>
      <x:c r="B53" s="59" t="inlineStr">
        <x:is>
          <x:t xml:space="preserve">выпускник курсов</x:t>
        </x:is>
      </x:c>
      <x:c r="C53" s="59" t="inlineStr">
        <x:is>
          <x:t xml:space="preserve">будни по графику, сб — нет</x:t>
        </x:is>
      </x:c>
      <x:c r="D53" s="59" t="inlineStr">
        <x:is>
          <x:t xml:space="preserve">19 600–21 000 ₽</x:t>
        </x:is>
      </x:c>
      <x:c r="E53" s="59" t="inlineStr">
        <x:is>
          <x:t xml:space="preserve">да</x:t>
        </x:is>
      </x:c>
    </x:row>
    <x:row r="54">
      <x:c r="A54" s="59" t="inlineStr">
        <x:is>
          <x:t xml:space="preserve">Second Nature (UK)</x:t>
        </x:is>
      </x:c>
      <x:c r="B54" s="59" t="inlineStr">
        <x:is>
          <x:t xml:space="preserve">диетолог HCPC</x:t>
        </x:is>
      </x:c>
      <x:c r="C54" s="59" t="inlineStr">
        <x:is>
          <x:t xml:space="preserve">5/7, программа 12 нед</x:t>
        </x:is>
      </x:c>
      <x:c r="D54" s="59" t="inlineStr">
        <x:is>
          <x:t xml:space="preserve">~£33–40</x:t>
        </x:is>
      </x:c>
      <x:c r="E54" s="59" t="inlineStr">
        <x:is>
          <x:t xml:space="preserve">нет</x:t>
        </x:is>
      </x:c>
    </x:row>
    <x:row r="55">
      <x:c r="A55" s="59" t="inlineStr">
        <x:is>
          <x:t xml:space="preserve">Noom</x:t>
        </x:is>
      </x:c>
      <x:c r="B55" s="59" t="inlineStr">
        <x:is>
          <x:t xml:space="preserve">коуч «для галочки»</x:t>
        </x:is>
      </x:c>
      <x:c r="C55" s="59" t="inlineStr">
        <x:is>
          <x:t xml:space="preserve">не ежедневно, шаблонно</x:t>
        </x:is>
      </x:c>
      <x:c r="D55" s="59" t="inlineStr">
        <x:is>
          <x:t xml:space="preserve">~$17/мес год-экв</x:t>
        </x:is>
      </x:c>
      <x:c r="E55" s="59" t="inlineStr">
        <x:is>
          <x:t xml:space="preserve">нет</x:t>
        </x:is>
      </x:c>
    </x:row>
    <x:row r="56">
      <x:c r="A56" s="59" t="inlineStr">
        <x:is>
          <x:t xml:space="preserve">Simple / трекеры / боты</x:t>
        </x:is>
      </x:c>
      <x:c r="B56" s="59" t="inlineStr">
        <x:is>
          <x:t xml:space="preserve">нет (AI/—)</x:t>
        </x:is>
      </x:c>
      <x:c r="C56" s="59" t="inlineStr">
        <x:is>
          <x:t xml:space="preserve">—</x:t>
        </x:is>
      </x:c>
      <x:c r="D56" s="59" t="inlineStr">
        <x:is>
          <x:t xml:space="preserve">200–1 300 ₽</x:t>
        </x:is>
      </x:c>
      <x:c r="E56" s="59" t="inlineStr">
        <x:is>
          <x:t xml:space="preserve">частично</x:t>
        </x:is>
      </x:c>
    </x:row>
    <x:row r="58">
      <x:c r="A58" s="59" t="inlineStr">
        <x:is>
          <x:t xml:space="preserve">ЦЕНОВАЯ ЛЕСТНИЦА РЫНКА, ₽/мес</x:t>
        </x:is>
      </x:c>
    </x:row>
    <x:row r="59">
      <x:c r="A59" s="59" t="inlineStr">
        <x:is>
          <x:t xml:space="preserve">TG-боты 200–500 · трекеры RU 300–800 · западные 700–1 300 (оплата сломана) · марафоны 3 000–7 500 · Борменталь ~4 000+ (рассрочка) · Sekta 19 600–30 000 · частный нутрициолог 23 000–35 000. Вакуум 8–19К — наш Pro.</x:t>
        </x:is>
      </x:c>
    </x:row>
    <x:row r="61">
      <x:c r="A61" s="59" t="inlineStr">
        <x:is>
          <x:t xml:space="preserve">ЛЕНДИНГИ: 5 ПАТТЕРНОВ ЛИДЕРОВ</x:t>
        </x:is>
      </x:c>
    </x:row>
    <x:row r="62">
      <x:c r="A62" s="59" t="inlineStr">
        <x:is>
          <x:t xml:space="preserve">1. Цифровой пруф над сгибом (рейтинг+масштаб+аватары) — у нас отзывы ниже сгиба.</x:t>
        </x:is>
      </x:c>
    </x:row>
    <x:row r="63">
      <x:c r="A63" s="59" t="inlineStr">
        <x:is>
          <x:t xml:space="preserve">2. Цена на главной скрыта почти у всех (кроме Sekta/марафонов) — наша открытая цена = отстройка.</x:t>
        </x:is>
      </x:c>
    </x:row>
    <x:row r="64">
      <x:c r="A64" s="59" t="inlineStr">
        <x:is>
          <x:t xml:space="preserve">3. Quiz-funnel — стандарт высокочековых (Simple/Noom/Sekta-тест).</x:t>
        </x:is>
      </x:c>
    </x:row>
    <x:row r="65">
      <x:c r="A65" s="59" t="inlineStr">
        <x:is>
          <x:t xml:space="preserve">4. Кейсы «кг+срок+лицо»; наш канон без «-N кг» → нужны процессные кейсы (дни без срывов, % дневника).</x:t>
        </x:is>
      </x:c>
    </x:row>
    <x:row r="66">
      <x:c r="A66" s="59" t="inlineStr">
        <x:is>
          <x:t xml:space="preserve">5. Вес пруфа растёт с чеком: инфлюенсеры → пресса → институции/наука (NHS, JAMA). Для 7 990 ₽ нужен тяжёлый пруф → медэксперт (27).</x:t>
        </x:is>
      </x:c>
    </x:row>
  </x:sheetData>
  <x:mergeCells>
    <x:mergeCell ref="B25:C25"/>
    <x:mergeCell ref="E24:F24"/>
    <x:mergeCell ref="A44:F45"/>
    <x:mergeCell ref="A35:F36"/>
    <x:mergeCell ref="B22:C22"/>
    <x:mergeCell ref="E23:F23"/>
    <x:mergeCell ref="B27:C27"/>
    <x:mergeCell ref="A21:F21"/>
    <x:mergeCell ref="A39:F40"/>
    <x:mergeCell ref="A2:F2"/>
    <x:mergeCell ref="E29:F29"/>
    <x:mergeCell ref="A32:F32"/>
    <x:mergeCell ref="A8:F8"/>
    <x:mergeCell ref="B23:C23"/>
    <x:mergeCell ref="E28:F28"/>
    <x:mergeCell ref="A4:F4"/>
    <x:mergeCell ref="A43:F43"/>
    <x:mergeCell ref="A41:F42"/>
    <x:mergeCell ref="A5:F7"/>
    <x:mergeCell ref="E30:F30"/>
    <x:mergeCell ref="B29:C29"/>
    <x:mergeCell ref="B28:C28"/>
    <x:mergeCell ref="E27:F27"/>
    <x:mergeCell ref="E26:F26"/>
    <x:mergeCell ref="A37:F38"/>
    <x:mergeCell ref="B24:C24"/>
    <x:mergeCell ref="B30:C30"/>
    <x:mergeCell ref="E25:F25"/>
    <x:mergeCell ref="A1:F1"/>
    <x:mergeCell ref="E22:F22"/>
    <x:mergeCell ref="B26:C26"/>
    <x:mergeCell ref="A33:F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171875" defaultRowHeight="15"/>
  <x:cols>
    <x:col min="1" max="1" width="2.5" style="59" customWidth="1"/>
    <x:col min="2" max="2" width="27" style="59" customWidth="1"/>
    <x:col min="3" max="6" width="17" style="59" customWidth="1"/>
    <x:col min="7" max="7" width="2.5" style="59" customWidth="1"/>
  </x:cols>
  <x:sheetData>
    <x:row r="1" s="60" customFormat="1" ht="33.75" customHeight="1">
      <x:c r="A1" s="61" t="n"/>
      <x:c r="B1" s="62" t="inlineStr">
        <x:is>
          <x:t xml:space="preserve">Telegram · продвижение и ведение</x:t>
        </x:is>
      </x:c>
      <x:c r="G1" s="61" t="n"/>
    </x:row>
    <x:row r="2" s="60" customFormat="1" ht="18" customHeight="1">
      <x:c r="A2" s="61" t="n"/>
      <x:c r="B2" s="63" t="inlineStr">
        <x:is>
          <x:t xml:space="preserve">Краткий план. Полный how-to — 14_Telegram_плейбук.md</x:t>
        </x:is>
      </x:c>
      <x:c r="G2" s="61" t="n"/>
    </x:row>
    <x:row r="3" s="60" customFormat="1" ht="6.75" customHeight="1">
      <x:c r="A3" s="61" t="n"/>
      <x:c r="G3" s="61" t="n"/>
    </x:row>
    <x:row r="4" s="60" customFormat="1" ht="19.5" customHeight="1">
      <x:c r="A4" s="61" t="n"/>
      <x:c r="B4" s="64" t="inlineStr">
        <x:is>
          <x:t xml:space="preserve">РОЛЬ</x:t>
        </x:is>
      </x:c>
      <x:c r="C4" s="65" t="n"/>
      <x:c r="D4" s="65" t="n"/>
      <x:c r="E4" s="65" t="n"/>
      <x:c r="F4" s="65" t="n"/>
      <x:c r="G4" s="61" t="n"/>
    </x:row>
    <x:row r="5" s="60" customFormat="1" ht="39" customHeight="1">
      <x:c r="A5" s="61" t="n"/>
      <x:c r="B5" s="66" t="inlineStr">
        <x:is>
          <x:t xml:space="preserve">Ключевой РФ-канал прогрева: узнавание себя → карта срывов/квиз → заявка на неделю → куратор как внимательная внешняя опора. Срывы — входная боль, продукт шире: дневник, контекст недели и мягкая ответственность. Перед закупками: TGStat/Telemetr, UTM, целевой CPL 400 ₽ и позитивные соседние референсы, а не только фитнес/похудение.</x:t>
        </x:is>
      </x:c>
      <x:c r="G5" s="61" t="n"/>
    </x:row>
    <x:row r="6" s="60" customFormat="1" ht="6.75" customHeight="1">
      <x:c r="A6" s="61" t="n"/>
      <x:c r="G6" s="61" t="n"/>
    </x:row>
    <x:row r="7" s="60" customFormat="1" ht="19.5" customHeight="1">
      <x:c r="A7" s="61" t="n"/>
      <x:c r="B7" s="64" t="inlineStr">
        <x:is>
          <x:t xml:space="preserve">РУБРИКИ (повторяемый каркас)</x:t>
        </x:is>
      </x:c>
      <x:c r="C7" s="65" t="n"/>
      <x:c r="D7" s="65" t="n"/>
      <x:c r="E7" s="65" t="n"/>
      <x:c r="F7" s="65" t="n"/>
      <x:c r="G7" s="61" t="n"/>
    </x:row>
    <x:row r="8" s="60" customFormat="1" ht="18" customHeight="1">
      <x:c r="A8" s="61" t="n"/>
      <x:c r="B8" s="95" t="inlineStr">
        <x:is>
          <x:t xml:space="preserve">Рубрика</x:t>
        </x:is>
      </x:c>
      <x:c r="C8" s="96" t="inlineStr">
        <x:is>
          <x:t xml:space="preserve">Цель</x:t>
        </x:is>
      </x:c>
      <x:c r="D8" s="97" t="n"/>
      <x:c r="E8" s="96" t="inlineStr">
        <x:is>
          <x:t xml:space="preserve">Частота</x:t>
        </x:is>
      </x:c>
      <x:c r="F8" s="97" t="n"/>
      <x:c r="G8" s="61" t="n"/>
    </x:row>
    <x:row r="9" s="60" customFormat="1" ht="15.75" customHeight="1">
      <x:c r="A9" s="61" t="n"/>
      <x:c r="B9" s="98" t="inlineStr">
        <x:is>
          <x:t xml:space="preserve">Механика срывов</x:t>
        </x:is>
      </x:c>
      <x:c r="C9" s="99" t="inlineStr">
        <x:is>
          <x:t xml:space="preserve">Узнавание себя + снятие вины</x:t>
        </x:is>
      </x:c>
      <x:c r="D9" s="97" t="n"/>
      <x:c r="E9" s="100" t="inlineStr">
        <x:is>
          <x:t xml:space="preserve">1/нед</x:t>
        </x:is>
      </x:c>
      <x:c r="F9" s="97" t="n"/>
      <x:c r="G9" s="61" t="n"/>
    </x:row>
    <x:row r="10" s="60" customFormat="1" ht="15.75" customHeight="1">
      <x:c r="A10" s="61" t="n"/>
      <x:c r="B10" s="101" t="inlineStr">
        <x:is>
          <x:t xml:space="preserve">Анти-марафон</x:t>
        </x:is>
      </x:c>
      <x:c r="C10" s="102" t="inlineStr">
        <x:is>
          <x:t xml:space="preserve">Отстройка от жёстких режимов</x:t>
        </x:is>
      </x:c>
      <x:c r="D10" s="97" t="n"/>
      <x:c r="E10" s="103" t="inlineStr">
        <x:is>
          <x:t xml:space="preserve">1–2/мес</x:t>
        </x:is>
      </x:c>
      <x:c r="F10" s="97" t="n"/>
      <x:c r="G10" s="61" t="n"/>
    </x:row>
    <x:row r="11" s="60" customFormat="1" ht="15.75" customHeight="1">
      <x:c r="A11" s="61" t="n"/>
      <x:c r="B11" s="98" t="inlineStr">
        <x:is>
          <x:t xml:space="preserve">Кухня сопровождения</x:t>
        </x:is>
      </x:c>
      <x:c r="C11" s="99" t="inlineStr">
        <x:is>
          <x:t xml:space="preserve">Ценность куратора и дневника</x:t>
        </x:is>
      </x:c>
      <x:c r="D11" s="97" t="n"/>
      <x:c r="E11" s="100" t="inlineStr">
        <x:is>
          <x:t xml:space="preserve">1/нед</x:t>
        </x:is>
      </x:c>
      <x:c r="F11" s="97" t="n"/>
      <x:c r="G11" s="61" t="n"/>
    </x:row>
    <x:row r="12" s="60" customFormat="1" ht="15.75" customHeight="1">
      <x:c r="A12" s="61" t="n"/>
      <x:c r="B12" s="101" t="inlineStr">
        <x:is>
          <x:t xml:space="preserve">Кейсы (процесс)</x:t>
        </x:is>
      </x:c>
      <x:c r="C12" s="102" t="inlineStr">
        <x:is>
          <x:t xml:space="preserve">Доверие без обещаний по весу</x:t>
        </x:is>
      </x:c>
      <x:c r="D12" s="97" t="n"/>
      <x:c r="E12" s="103" t="inlineStr">
        <x:is>
          <x:t xml:space="preserve">2–3/мес</x:t>
        </x:is>
      </x:c>
      <x:c r="F12" s="97" t="n"/>
      <x:c r="G12" s="61" t="n"/>
    </x:row>
    <x:row r="13" s="60" customFormat="1" ht="15.75" customHeight="1">
      <x:c r="A13" s="61" t="n"/>
      <x:c r="B13" s="98" t="inlineStr">
        <x:is>
          <x:t xml:space="preserve">Прозрачность</x:t>
        </x:is>
      </x:c>
      <x:c r="C13" s="99" t="inlineStr">
        <x:is>
          <x:t xml:space="preserve">Ограничения, график, не медуслуга</x:t>
        </x:is>
      </x:c>
      <x:c r="D13" s="97" t="n"/>
      <x:c r="E13" s="100" t="inlineStr">
        <x:is>
          <x:t xml:space="preserve">1–2/мес</x:t>
        </x:is>
      </x:c>
      <x:c r="F13" s="97" t="n"/>
      <x:c r="G13" s="61" t="n"/>
    </x:row>
    <x:row r="14" s="60" customFormat="1" ht="15.75" customHeight="1">
      <x:c r="A14" s="61" t="n"/>
      <x:c r="B14" s="101" t="inlineStr">
        <x:is>
          <x:t xml:space="preserve">Польза / режим</x:t>
        </x:is>
      </x:c>
      <x:c r="C14" s="102" t="inlineStr">
        <x:is>
          <x:t xml:space="preserve">Сохраняемые опоры недели</x:t>
        </x:is>
      </x:c>
      <x:c r="D14" s="97" t="n"/>
      <x:c r="E14" s="103" t="inlineStr">
        <x:is>
          <x:t xml:space="preserve">1/нед</x:t>
        </x:is>
      </x:c>
      <x:c r="F14" s="97" t="n"/>
      <x:c r="G14" s="61" t="n"/>
    </x:row>
    <x:row r="15" s="60" customFormat="1" ht="6.75" customHeight="1">
      <x:c r="A15" s="61" t="n"/>
      <x:c r="G15" s="61" t="n"/>
    </x:row>
    <x:row r="16" s="60" customFormat="1" ht="19.5" customHeight="1">
      <x:c r="A16" s="61" t="n"/>
      <x:c r="B16" s="64" t="inlineStr">
        <x:is>
          <x:t xml:space="preserve">РИТМ ВЕДЕНИЯ</x:t>
        </x:is>
      </x:c>
      <x:c r="C16" s="65" t="n"/>
      <x:c r="D16" s="65" t="n"/>
      <x:c r="E16" s="65" t="n"/>
      <x:c r="F16" s="65" t="n"/>
      <x:c r="G16" s="61" t="n"/>
    </x:row>
    <x:row r="17" s="60" customFormat="1" ht="39" customHeight="1">
      <x:c r="A17" s="61" t="n"/>
      <x:c r="B17" s="66" t="inlineStr">
        <x:is>
          <x:t xml:space="preserve">3–4 поста/нед + 1 лонгрид/нед как максимум на старте. Батч раз в неделю → отложенный постинг. Время: 8–10 и 19–22 как стартовый ориентир; уточнять по статистике канала.</x:t>
        </x:is>
      </x:c>
      <x:c r="G17" s="61" t="n"/>
    </x:row>
    <x:row r="18" s="60" customFormat="1" ht="6.75" customHeight="1">
      <x:c r="A18" s="61" t="n"/>
      <x:c r="G18" s="61" t="n"/>
    </x:row>
    <x:row r="19" s="60" customFormat="1" ht="19.5" customHeight="1">
      <x:c r="A19" s="61" t="n"/>
      <x:c r="B19" s="64" t="inlineStr">
        <x:is>
          <x:t xml:space="preserve">ПРОДВИЖЕНИЕ</x:t>
        </x:is>
      </x:c>
      <x:c r="C19" s="65" t="n"/>
      <x:c r="D19" s="65" t="n"/>
      <x:c r="E19" s="65" t="n"/>
      <x:c r="F19" s="65" t="n"/>
      <x:c r="G19" s="61" t="n"/>
    </x:row>
    <x:row r="20" s="60" customFormat="1" ht="15.75" customHeight="1">
      <x:c r="A20" s="61" t="n"/>
      <x:c r="B20" s="66" t="str">
        <x:v>Сейчас: 8–10 сильных постов, личный круг, тёплые репосты и коллаборации. До R2 — без закупок; после S1 собрать первые факты, 3–5 оплат и shortlist 15 доноров.</x:v>
      </x:c>
      <x:c r="G20" s="61" t="n"/>
    </x:row>
    <x:row r="21" s="60" customFormat="1" ht="15.75" customHeight="1">
      <x:c r="A21" s="61" t="n"/>
      <x:c r="B21" s="80" t="str">
        <x:v>После зелёного R2: 4–6 ручных нативных посевов суммарно на 12–20 тыс. ₽. Каждый канал — отдельный start-код/UTM; решение по week_request, trial_started, оплатам, CAC и capacity.</x:v>
      </x:c>
      <x:c r="G21" s="61" t="n"/>
    </x:row>
    <x:row r="22" s="60" customFormat="1" ht="15.75" customHeight="1">
      <x:c r="A22" s="61" t="n"/>
      <x:c r="B22" s="66" t="str">
        <x:v>Telegram Ads — только после успешной платной когорты. Снимок 2026-07-26: eLama — 250 €/366 € для обычной тематики; getUNIQ — от 500 €; Telega.in Smart — от 150 тыс. ₽. Перед оплатой перепроверить; сторонний пиксель — только после отдельной ПДн/data-change проверки.</x:v>
      </x:c>
      <x:c r="G22" s="61" t="n"/>
    </x:row>
    <x:row r="23" s="60" customFormat="1" ht="6.75" customHeight="1">
      <x:c r="A23" s="61" t="n"/>
      <x:c r="G23" s="61" t="n"/>
    </x:row>
    <x:row r="24" s="60" customFormat="1" ht="19.5" customHeight="1">
      <x:c r="A24" s="61" t="n"/>
      <x:c r="B24" s="64" t="inlineStr">
        <x:is>
          <x:t xml:space="preserve">ВОРОНКА</x:t>
        </x:is>
      </x:c>
      <x:c r="C24" s="65" t="n"/>
      <x:c r="D24" s="65" t="n"/>
      <x:c r="E24" s="65" t="n"/>
      <x:c r="F24" s="65" t="n"/>
      <x:c r="G24" s="61" t="n"/>
    </x:row>
    <x:row r="25" s="60" customFormat="1" ht="54" customHeight="1">
      <x:c r="A25" s="61" t="n"/>
      <x:c r="B25" s="66" t="inlineStr">
        <x:is>
          <x:t xml:space="preserve">Холодный/тёплый трафик → quiz_start → quiz_complete → week_request → trial_started → active_trial_d4 → payment. Не смешивать quiz→неделя, lead→trial_started и trial_started→payment; поток ограничен ёмкостью куратора.</x:t>
        </x:is>
      </x:c>
      <x:c r="G25" s="61" t="n"/>
    </x:row>
    <x:row r="26" s="60" customFormat="1" ht="6.75" customHeight="1">
      <x:c r="A26" s="61" t="n"/>
      <x:c r="G26" s="61" t="n"/>
    </x:row>
    <x:row r="27" s="60" customFormat="1" ht="19.5" customHeight="1">
      <x:c r="A27" s="61" t="n"/>
      <x:c r="B27" s="64" t="inlineStr">
        <x:is>
          <x:t xml:space="preserve">МЕТРИКИ</x:t>
        </x:is>
      </x:c>
      <x:c r="C27" s="65" t="n"/>
      <x:c r="D27" s="65" t="n"/>
      <x:c r="E27" s="65" t="n"/>
      <x:c r="F27" s="65" t="n"/>
      <x:c r="G27" s="61" t="n"/>
    </x:row>
    <x:row r="28" s="60" customFormat="1" ht="39" customHeight="1">
      <x:c r="A28" s="61" t="n"/>
      <x:c r="B28" s="66" t="inlineStr">
        <x:is>
          <x:t xml:space="preserve">CPL база ≤400 ₽ · lead→trial_started ≥40% · trial_started→payment ≥30% · quiz_complete→week_request отдельно · NPS триала · retention/отписки канала · first response time · SLA ≤5% · доля high-risk/RПП-risk лидов.</x:t>
        </x:is>
      </x:c>
      <x:c r="G28" s="61" t="n"/>
    </x:row>
    <x:row r="29" s="60" customFormat="1" ht="6.75" customHeight="1">
      <x:c r="A29" s="61" t="n"/>
      <x:c r="G29" s="61" t="n"/>
    </x:row>
    <x:row r="30" s="60" customFormat="1" ht="19.5" customHeight="1">
      <x:c r="A30" s="61" t="n"/>
      <x:c r="B30" s="64" t="inlineStr">
        <x:is>
          <x:t xml:space="preserve">ЛЕГАЛ</x:t>
        </x:is>
      </x:c>
      <x:c r="C30" s="65" t="n"/>
      <x:c r="D30" s="65" t="n"/>
      <x:c r="E30" s="65" t="n"/>
      <x:c r="F30" s="65" t="n"/>
      <x:c r="G30" s="61" t="n"/>
    </x:row>
    <x:row r="31" s="60" customFormat="1" ht="39" customHeight="1">
      <x:c r="A31" s="61" t="n"/>
      <x:c r="B31" s="66" t="inlineStr">
        <x:is>
          <x:t xml:space="preserve">Справочная органика без оффера обычно без ERID; закреп/баннер/пост саморекламы с CTA/ограниченными местами проверять по 33 и FAQ РКН, при сомнении заводить в ОРД. Посевы/Ads — ERID до публикации, договор, отчёт в ОРД.</x:t>
        </x:is>
      </x:c>
      <x:c r="G31" s="61" t="n"/>
    </x:row>
    <x:row r="32" s="60" customFormat="1" ht="6.75" customHeight="1">
      <x:c r="A32" s="61" t="n"/>
      <x:c r="G32" s="61" t="n"/>
    </x:row>
    <x:row r="33" s="60" customFormat="1" ht="19.5" customHeight="1">
      <x:c r="A33" s="61" t="n"/>
      <x:c r="B33" s="64" t="inlineStr">
        <x:is>
          <x:t xml:space="preserve">ЧЕГО НЕ ДЕЛАТЬ</x:t>
        </x:is>
      </x:c>
      <x:c r="C33" s="65" t="n"/>
      <x:c r="D33" s="65" t="n"/>
      <x:c r="E33" s="65" t="n"/>
      <x:c r="F33" s="65" t="n"/>
      <x:c r="G33" s="61" t="n"/>
    </x:row>
    <x:row r="34" s="60" customFormat="1" ht="39" customHeight="1">
      <x:c r="A34" s="61" t="n"/>
      <x:c r="B34" s="81" t="inlineStr">
        <x:is>
          <x:t xml:space="preserve">Накрученные каналы; холодный трафик сразу в оплату; спам в чаты; скидочный шум; «−N кг» / «24/7» / «психолог» / медицинские обещания; публичные SLA «рядом каждый день» или «обычно час-два».</x:t>
        </x:is>
      </x:c>
      <x:c r="G34" s="61" t="n"/>
    </x:row>
    <x:row r="35" s="60" customFormat="1" ht="15" customHeight="1">
      <x:c r="A35" s="61" t="n"/>
      <x:c r="G35" s="61" t="n"/>
    </x:row>
  </x:sheetData>
  <x:mergeCells>
    <x:mergeCell ref="B4:F4"/>
    <x:mergeCell ref="E12:F12"/>
    <x:mergeCell ref="B7:F7"/>
    <x:mergeCell ref="B16:F16"/>
    <x:mergeCell ref="B25:F25"/>
    <x:mergeCell ref="C14:D14"/>
    <x:mergeCell ref="B31:F31"/>
    <x:mergeCell ref="E14:F14"/>
    <x:mergeCell ref="B22:F22"/>
    <x:mergeCell ref="E8:F8"/>
    <x:mergeCell ref="B27:F27"/>
    <x:mergeCell ref="B21:F21"/>
    <x:mergeCell ref="C10:D10"/>
    <x:mergeCell ref="B2:F2"/>
    <x:mergeCell ref="E10:F10"/>
    <x:mergeCell ref="E13:F13"/>
    <x:mergeCell ref="B1:F1"/>
    <x:mergeCell ref="C9:D9"/>
    <x:mergeCell ref="E9:F9"/>
    <x:mergeCell ref="B17:F17"/>
    <x:mergeCell ref="C12:D12"/>
    <x:mergeCell ref="B34:F34"/>
    <x:mergeCell ref="C11:D11"/>
    <x:mergeCell ref="B28:F28"/>
    <x:mergeCell ref="E11:F11"/>
    <x:mergeCell ref="B19:F19"/>
    <x:mergeCell ref="C8:D8"/>
    <x:mergeCell ref="B30:F30"/>
    <x:mergeCell ref="B24:F24"/>
    <x:mergeCell ref="B20:F20"/>
    <x:mergeCell ref="B33:F33"/>
    <x:mergeCell ref="B5:F5"/>
    <x:mergeCell ref="C13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171875" defaultRowHeight="15"/>
  <x:cols>
    <x:col min="1" max="1" width="30" style="59" customWidth="1"/>
    <x:col min="2" max="2" width="14" style="59" customWidth="1"/>
    <x:col min="3" max="3" width="12" style="59" customWidth="1"/>
    <x:col min="4" max="4" width="14" style="59" customWidth="1"/>
    <x:col min="5" max="5" width="12" style="59" customWidth="1"/>
    <x:col min="6" max="6" width="30" style="59" customWidth="1"/>
  </x:cols>
  <x:sheetData>
    <x:row r="1" s="60" customFormat="1" ht="24" customHeight="1">
      <x:c r="A1" s="104" t="inlineStr">
        <x:is>
          <x:t xml:space="preserve">KPI-трекер — обновляй «Факт» (жёлтые ячейки) еженедельно</x:t>
        </x:is>
      </x:c>
    </x:row>
    <x:row r="2" s="60" customFormat="1" ht="15" customHeight="1">
      <x:c r="A2" s="105" t="n"/>
      <x:c r="B2" s="105" t="n"/>
      <x:c r="C2" s="105" t="n"/>
      <x:c r="D2" s="105" t="n"/>
      <x:c r="E2" s="105" t="n"/>
      <x:c r="F2" s="105" t="n"/>
    </x:row>
    <x:row r="3" s="60" customFormat="1" ht="15" customHeight="1">
      <x:c r="A3" s="106" t="inlineStr">
        <x:is>
          <x:t xml:space="preserve">Метрика</x:t>
        </x:is>
      </x:c>
      <x:c r="B3" s="106" t="inlineStr">
        <x:is>
          <x:t xml:space="preserve">Цель</x:t>
        </x:is>
      </x:c>
      <x:c r="C3" s="106" t="inlineStr">
        <x:is>
          <x:t xml:space="preserve">Напр.</x:t>
        </x:is>
      </x:c>
      <x:c r="D3" s="106" t="inlineStr">
        <x:is>
          <x:t xml:space="preserve">Факт</x:t>
        </x:is>
      </x:c>
      <x:c r="E3" s="106" t="inlineStr">
        <x:is>
          <x:t xml:space="preserve">Статус</x:t>
        </x:is>
      </x:c>
      <x:c r="F3" s="106" t="inlineStr">
        <x:is>
          <x:t xml:space="preserve">Источник / комментарий</x:t>
        </x:is>
      </x:c>
    </x:row>
    <x:row r="4" s="60" customFormat="1" ht="15" customHeight="1">
      <x:c r="A4" s="107" t="inlineStr">
        <x:is>
          <x:t xml:space="preserve">Активных клиентов</x:t>
        </x:is>
      </x:c>
      <x:c r="B4" s="108" t="n">
        <x:v>15</x:v>
      </x:c>
      <x:c r="C4" s="109" t="inlineStr">
        <x:is>
          <x:t xml:space="preserve">≥</x:t>
        </x:is>
      </x:c>
      <x:c r="D4" s="110" t="n"/>
      <x:c r="E4" s="111" t="str">
        <x:f>IF(D4="","—",IF(D4&gt;=B4,"✅","⚠"))</x:f>
        <x:v>—</x:v>
      </x:c>
      <x:c r="F4" s="112" t="inlineStr">
        <x:is>
          <x:t xml:space="preserve">Ф0: цель 15</x:t>
        </x:is>
      </x:c>
    </x:row>
    <x:row r="5" s="60" customFormat="1" ht="15" customHeight="1">
      <x:c r="A5" s="107" t="inlineStr">
        <x:is>
          <x:t xml:space="preserve">Свободная ёмкость кураторов</x:t>
        </x:is>
      </x:c>
      <x:c r="B5" s="113" t="n"/>
      <x:c r="C5" s="109" t="n"/>
      <x:c r="D5" s="110" t="n"/>
      <x:c r="E5" s="111" t="inlineStr">
        <x:is>
          <x:t xml:space="preserve">—</x:t>
        </x:is>
      </x:c>
      <x:c r="F5" s="112" t="inlineStr">
        <x:is>
          <x:t xml:space="preserve">кураторы×14 − активные Pro</x:t>
        </x:is>
      </x:c>
    </x:row>
    <x:row r="6" s="60" customFormat="1" ht="15" customHeight="1">
      <x:c r="A6" s="107" t="inlineStr">
        <x:is>
          <x:t xml:space="preserve">Новых триалов / нед</x:t>
        </x:is>
      </x:c>
      <x:c r="B6" s="113" t="n"/>
      <x:c r="C6" s="109" t="n"/>
      <x:c r="D6" s="110" t="n"/>
      <x:c r="E6" s="111" t="inlineStr">
        <x:is>
          <x:t xml:space="preserve">—</x:t>
        </x:is>
      </x:c>
      <x:c r="F6" s="112" t="inlineStr">
        <x:is>
          <x:t xml:space="preserve">по ёмкости, не по бюджету</x:t>
        </x:is>
      </x:c>
    </x:row>
    <x:row r="7" s="60" customFormat="1" ht="15" customHeight="1">
      <x:c r="A7" s="107" t="inlineStr">
        <x:is>
          <x:t xml:space="preserve">Лид → триал</x:t>
        </x:is>
      </x:c>
      <x:c r="B7" s="114" t="n">
        <x:v>0.4</x:v>
      </x:c>
      <x:c r="C7" s="109" t="inlineStr">
        <x:is>
          <x:t xml:space="preserve">≥</x:t>
        </x:is>
      </x:c>
      <x:c r="D7" s="115" t="n"/>
      <x:c r="E7" s="111" t="str">
        <x:f>IF(D7="","—",IF(D7&gt;=B7,"✅","⚠"))</x:f>
        <x:v>—</x:v>
      </x:c>
      <x:c r="F7" s="112" t="inlineStr">
        <x:is>
          <x:t xml:space="preserve">CRM</x:t>
        </x:is>
      </x:c>
    </x:row>
    <x:row r="8" s="60" customFormat="1" ht="15" customHeight="1">
      <x:c r="A8" s="107" t="inlineStr">
        <x:is>
          <x:t xml:space="preserve">Триал → оплата</x:t>
        </x:is>
      </x:c>
      <x:c r="B8" s="114" t="n">
        <x:v>0.3</x:v>
      </x:c>
      <x:c r="C8" s="109" t="inlineStr">
        <x:is>
          <x:t xml:space="preserve">≥</x:t>
        </x:is>
      </x:c>
      <x:c r="D8" s="115" t="n"/>
      <x:c r="E8" s="111" t="str">
        <x:f>IF(D8="","—",IF(D8&gt;=B8,"✅","⚠"))</x:f>
        <x:v>—</x:v>
      </x:c>
      <x:c r="F8" s="112" t="inlineStr">
        <x:is>
          <x:t xml:space="preserve">Trial Machine — ключевая</x:t>
        </x:is>
      </x:c>
    </x:row>
    <x:row r="9" s="60" customFormat="1" ht="15" customHeight="1">
      <x:c r="A9" s="107" t="inlineStr">
        <x:is>
          <x:t xml:space="preserve">CPL, ₽</x:t>
        </x:is>
      </x:c>
      <x:c r="B9" s="116" t="n">
        <x:v>400</x:v>
      </x:c>
      <x:c r="C9" s="109" t="inlineStr">
        <x:is>
          <x:t xml:space="preserve">≤</x:t>
        </x:is>
      </x:c>
      <x:c r="D9" s="117" t="n"/>
      <x:c r="E9" s="111" t="str">
        <x:f>IF(D9="","—",IF(D9&lt;=B9,"✅","⚠"))</x:f>
        <x:v>—</x:v>
      </x:c>
      <x:c r="F9" s="112" t="inlineStr">
        <x:is>
          <x:t xml:space="preserve">под целевым CAC</x:t>
        </x:is>
      </x:c>
    </x:row>
    <x:row r="10" s="60" customFormat="1" ht="15" customHeight="1">
      <x:c r="A10" s="107" t="inlineStr">
        <x:is>
          <x:t xml:space="preserve">Реальный CAC, ₽</x:t>
        </x:is>
      </x:c>
      <x:c r="B10" s="116" t="n">
        <x:v>10500</x:v>
      </x:c>
      <x:c r="C10" s="109" t="inlineStr">
        <x:is>
          <x:t xml:space="preserve">≤</x:t>
        </x:is>
      </x:c>
      <x:c r="D10" s="117" t="n"/>
      <x:c r="E10" s="111" t="str">
        <x:f>IF(D10="","—",IF(D10&lt;=B10,"✅","⚠"))</x:f>
        <x:v>—</x:v>
      </x:c>
      <x:c r="F10" s="112" t="inlineStr">
        <x:is>
          <x:t xml:space="preserve">лист «Реальность-чек»</x:t>
        </x:is>
      </x:c>
    </x:row>
    <x:row r="11" s="60" customFormat="1" ht="15" customHeight="1">
      <x:c r="A11" s="107" t="inlineStr">
        <x:is>
          <x:t xml:space="preserve">LTV : CAC</x:t>
        </x:is>
      </x:c>
      <x:c r="B11" s="118" t="n">
        <x:v>3</x:v>
      </x:c>
      <x:c r="C11" s="109" t="inlineStr">
        <x:is>
          <x:t xml:space="preserve">≥</x:t>
        </x:is>
      </x:c>
      <x:c r="D11" s="119" t="n"/>
      <x:c r="E11" s="111" t="str">
        <x:f>IF(D11="","—",IF(D11&gt;=B11,"✅","⚠"))</x:f>
        <x:v>—</x:v>
      </x:c>
      <x:c r="F11" s="112" t="inlineStr">
        <x:is>
          <x:t xml:space="preserve">цель ≥ 3,0x</x:t>
        </x:is>
      </x:c>
    </x:row>
    <x:row r="12" s="60" customFormat="1" ht="15" customHeight="1">
      <x:c r="A12" s="107" t="inlineStr">
        <x:is>
          <x:t xml:space="preserve">Отток / мес</x:t>
        </x:is>
      </x:c>
      <x:c r="B12" s="114" t="n">
        <x:v>0.09</x:v>
      </x:c>
      <x:c r="C12" s="109" t="inlineStr">
        <x:is>
          <x:t xml:space="preserve">≤</x:t>
        </x:is>
      </x:c>
      <x:c r="D12" s="115" t="n"/>
      <x:c r="E12" s="111" t="str">
        <x:f>IF(D12="","—",IF(D12&lt;=B12,"✅","⚠"))</x:f>
        <x:v>—</x:v>
      </x:c>
      <x:c r="F12" s="112" t="inlineStr">
        <x:is>
          <x:t xml:space="preserve">биллинг</x:t>
        </x:is>
      </x:c>
    </x:row>
    <x:row r="13" s="60" customFormat="1" ht="15" customHeight="1">
      <x:c r="A13" s="107" t="inlineStr">
        <x:is>
          <x:t xml:space="preserve">SLA-нарушения</x:t>
        </x:is>
      </x:c>
      <x:c r="B13" s="114" t="n">
        <x:v>0.05</x:v>
      </x:c>
      <x:c r="C13" s="109" t="inlineStr">
        <x:is>
          <x:t xml:space="preserve">≤</x:t>
        </x:is>
      </x:c>
      <x:c r="D13" s="115" t="n"/>
      <x:c r="E13" s="111" t="str">
        <x:f>IF(D13="","—",IF(D13&lt;=B13,"✅","⚠"))</x:f>
        <x:v>—</x:v>
      </x:c>
      <x:c r="F13" s="112" t="inlineStr">
        <x:is>
          <x:t xml:space="preserve">операционка</x:t>
        </x:is>
      </x:c>
    </x:row>
    <x:row r="14" s="60" customFormat="1" ht="15" customHeight="1">
      <x:c r="A14" s="107" t="inlineStr">
        <x:is>
          <x:t xml:space="preserve">ERID-покрытие креативов</x:t>
        </x:is>
      </x:c>
      <x:c r="B14" s="108" t="n">
        <x:v>1</x:v>
      </x:c>
      <x:c r="C14" s="109" t="inlineStr">
        <x:is>
          <x:t xml:space="preserve">≥</x:t>
        </x:is>
      </x:c>
      <x:c r="D14" s="110" t="n"/>
      <x:c r="E14" s="111" t="str">
        <x:f>IF(D14="","—",IF(D14&gt;=B14,"✅","⚠"))</x:f>
        <x:v>—</x:v>
      </x:c>
      <x:c r="F14" s="112" t="inlineStr">
        <x:is>
          <x:t xml:space="preserve">маркировка рекламы</x:t>
        </x:is>
      </x:c>
    </x:row>
    <x:row r="15" s="60" customFormat="1" ht="15" customHeight="1">
      <x:c r="A15" s="107" t="inlineStr">
        <x:is>
          <x:t xml:space="preserve">Выручка / мес, ₽</x:t>
        </x:is>
      </x:c>
      <x:c r="B15" s="113" t="n"/>
      <x:c r="C15" s="109" t="n"/>
      <x:c r="D15" s="117" t="n"/>
      <x:c r="E15" s="111" t="inlineStr">
        <x:is>
          <x:t xml:space="preserve">—</x:t>
        </x:is>
      </x:c>
      <x:c r="F15" s="112" t="inlineStr">
        <x:is>
          <x:t xml:space="preserve">растёт</x:t>
        </x:is>
      </x:c>
    </x:row>
    <x:row r="16" s="60" customFormat="1" ht="15" customHeight="1">
      <x:c r="A16" s="105" t="n"/>
      <x:c r="B16" s="105" t="n"/>
      <x:c r="C16" s="105" t="n"/>
      <x:c r="D16" s="105" t="n"/>
      <x:c r="E16" s="105" t="n"/>
      <x:c r="F16" s="105" t="n"/>
    </x:row>
    <x:row r="17" s="60" customFormat="1" ht="15" customHeight="1">
      <x:c r="A17" s="59" t="inlineStr">
        <x:is>
          <x:t xml:space="preserve">Отписки / retention канала</x:t>
        </x:is>
      </x:c>
    </x:row>
    <x:row r="18">
      <x:c r="A18" s="59" t="inlineStr">
        <x:is>
          <x:t xml:space="preserve">First response time к заявке</x:t>
        </x:is>
      </x:c>
      <x:c r="B18" s="59" t="inlineStr">
        <x:is>
          <x:t xml:space="preserve">по внутреннему SLA</x:t>
        </x:is>
      </x:c>
      <x:c r="C18" s="59" t="inlineStr">
        <x:is>
          <x:t xml:space="preserve">ниже лучше</x:t>
        </x:is>
      </x:c>
    </x:row>
    <x:row r="19">
      <x:c r="A19" s="59" t="inlineStr">
        <x:is>
          <x:t xml:space="preserve">NPS бесплатной недели</x:t>
        </x:is>
      </x:c>
      <x:c r="B19" s="59" t="inlineStr">
        <x:is>
          <x:t xml:space="preserve">собирать после триала</x:t>
        </x:is>
      </x:c>
      <x:c r="C19" s="59" t="inlineStr">
        <x:is>
          <x:t xml:space="preserve">выше лучше</x:t>
        </x:is>
      </x:c>
    </x:row>
    <x:row r="20">
      <x:c r="A20" s="59" t="inlineStr">
        <x:is>
          <x:t xml:space="preserve">High-risk / РПП-risk лиды</x:t>
        </x:is>
      </x:c>
      <x:c r="B20" s="59" t="inlineStr">
        <x:is>
          <x:t xml:space="preserve">мониторить долю</x:t>
        </x:is>
      </x:c>
      <x:c r="C20" s="59" t="inlineStr">
        <x:is>
          <x:t xml:space="preserve">ниже лучше</x:t>
        </x:is>
      </x:c>
    </x:row>
    <x:row r="21">
      <x:c r="A21" s="84" t="inlineStr">
        <x:is>
          <x:t xml:space="preserve">✅ в норме · ⚠ ниже цели · — нет данных / нет числовой цели. Меняй цели под текущую фазу (Ф0/Ф1).</x:t>
        </x:is>
      </x:c>
    </x:row>
  </x:sheetData>
  <x:mergeCells>
    <x:mergeCell ref="A1:F1"/>
    <x:mergeCell ref="A17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12" hidden="0" customWidth="1"/>
    <x:col min="6" max="6" width="12" hidden="0" customWidth="1"/>
  </x:cols>
  <x:sheetData>
    <x:row r="1">
      <x:c r="A1" s="153" t="str">
        <x:v>Pro Спорт · решение пилота</x:v>
      </x:c>
      <x:c r="B1" s="153"/>
      <x:c r="C1" s="153"/>
      <x:c r="D1" s="153"/>
      <x:c r="E1" s="153"/>
      <x:c r="F1" s="153"/>
    </x:row>
    <x:row r="2">
      <x:c r="A2" s="126" t="str">
        <x:v>Основатель совмещает куратора и специалиста по тренировкам; один общий контекст без передачи между людьми.</x:v>
      </x:c>
      <x:c r="B2" s="126"/>
      <x:c r="C2" s="126"/>
      <x:c r="D2" s="126"/>
      <x:c r="E2" s="126"/>
      <x:c r="F2" s="126"/>
    </x:row>
    <x:row r="3">
      <x:c r="A3" s="154"/>
      <x:c r="B3" s="154"/>
      <x:c r="C3" s="154"/>
      <x:c r="D3" s="154"/>
      <x:c r="E3" s="154"/>
      <x:c r="F3" s="154"/>
    </x:row>
    <x:row r="4">
      <x:c r="A4" s="135" t="str">
        <x:v>Параметр</x:v>
      </x:c>
      <x:c r="B4" s="136" t="str">
        <x:v>Канон</x:v>
      </x:c>
      <x:c r="C4" s="154"/>
      <x:c r="D4" s="154"/>
      <x:c r="E4" s="154"/>
      <x:c r="F4" s="154"/>
    </x:row>
    <x:row r="5">
      <x:c r="A5" s="142" t="str">
        <x:v>Текущая цена</x:v>
      </x:c>
      <x:c r="B5" s="142" t="str">
        <x:v>19 990 ₽/мес</x:v>
      </x:c>
      <x:c r="C5" s="154"/>
      <x:c r="D5" s="154"/>
      <x:c r="E5" s="154"/>
      <x:c r="F5" s="154"/>
    </x:row>
    <x:row r="6">
      <x:c r="A6" s="142" t="str">
        <x:v>Первый набор</x:v>
      </x:c>
      <x:c r="B6" s="142" t="str">
        <x:v>4 принятых и оплативших клиента</x:v>
      </x:c>
      <x:c r="C6" s="154"/>
      <x:c r="D6" s="154"/>
      <x:c r="E6" s="154"/>
      <x:c r="F6" s="154"/>
    </x:row>
    <x:row r="7">
      <x:c r="A7" s="142" t="str">
        <x:v>Следующий набор</x:v>
      </x:c>
      <x:c r="B7" s="142" t="str">
        <x:v>26 990 ₽/мес после ретроспективы</x:v>
      </x:c>
      <x:c r="C7" s="154"/>
      <x:c r="D7" s="154"/>
      <x:c r="E7" s="154"/>
      <x:c r="F7" s="154"/>
    </x:row>
    <x:row r="8">
      <x:c r="A8" s="142" t="str">
        <x:v>Главный тариф</x:v>
      </x:c>
      <x:c r="B8" s="142" t="str">
        <x:v>Pro 7 990 ₽/мес</x:v>
      </x:c>
      <x:c r="C8" s="154"/>
      <x:c r="D8" s="154"/>
      <x:c r="E8" s="154"/>
      <x:c r="F8" s="154"/>
    </x:row>
    <x:row r="9">
      <x:c r="A9" s="142" t="str">
        <x:v>Бесплатная неделя</x:v>
      </x:c>
      <x:c r="B9" s="142" t="str">
        <x:v>Только Pro</x:v>
      </x:c>
      <x:c r="C9" s="154"/>
      <x:c r="D9" s="154"/>
      <x:c r="E9" s="154"/>
      <x:c r="F9" s="154"/>
    </x:row>
    <x:row r="10">
      <x:c r="A10" s="142" t="str">
        <x:v>CTA Pro Спорт</x:v>
      </x:c>
      <x:c r="B10" s="142" t="str">
        <x:v>Обсудить; без мгновенной покупки</x:v>
      </x:c>
      <x:c r="C10" s="154"/>
      <x:c r="D10" s="154"/>
      <x:c r="E10" s="154"/>
      <x:c r="F10" s="154"/>
    </x:row>
    <x:row r="11">
      <x:c r="A11" s="142" t="str">
        <x:v>Внутренние id</x:v>
      </x:c>
      <x:c r="B11" s="142" t="str">
        <x:v>proPlus / proplus / pro_plus сохранены</x:v>
      </x:c>
      <x:c r="C11" s="154"/>
      <x:c r="D11" s="154"/>
      <x:c r="E11" s="154"/>
      <x:c r="F11" s="154"/>
    </x:row>
    <x:row r="12">
      <x:c r="A12" s="143" t="str">
        <x:v>Scale-gate</x:v>
      </x:c>
      <x:c r="B12" s="143" t="str">
        <x:v>8 — после замера времени; 12 — только расчёт</x:v>
      </x:c>
      <x:c r="C12" s="154"/>
      <x:c r="D12" s="154"/>
      <x:c r="E12" s="154"/>
      <x:c r="F12" s="154"/>
    </x:row>
    <x:row r="13">
      <x:c r="A13" s="154"/>
      <x:c r="B13" s="154"/>
      <x:c r="C13" s="154"/>
      <x:c r="D13" s="154"/>
      <x:c r="E13" s="154"/>
      <x:c r="F13" s="154"/>
    </x:row>
    <x:row r="14">
      <x:c r="A14" s="155" t="str">
        <x:v>ЭКОНОМИКА НА 1 КЛИЕНТА</x:v>
      </x:c>
      <x:c r="B14" s="155"/>
      <x:c r="C14" s="155"/>
      <x:c r="D14" s="155"/>
      <x:c r="E14" s="155"/>
      <x:c r="F14" s="155"/>
    </x:row>
    <x:row r="15">
      <x:c r="A15" s="135" t="str">
        <x:v>Цена</x:v>
      </x:c>
      <x:c r="B15" s="150" t="str">
        <x:v>Норм. прибыль</x:v>
      </x:c>
      <x:c r="C15" s="150" t="str">
        <x:v>Норм. маржа</x:v>
      </x:c>
      <x:c r="D15" s="136" t="str">
        <x:v>Первый месяц</x:v>
      </x:c>
      <x:c r="E15" s="154"/>
      <x:c r="F15" s="154"/>
    </x:row>
    <x:row r="16">
      <x:c r="A16" s="151" t="n">
        <x:v>14990</x:v>
      </x:c>
      <x:c r="B16" s="151" t="n">
        <x:v>65.35</x:v>
      </x:c>
      <x:c r="C16" s="152" t="n">
        <x:v>0.00436</x:v>
      </x:c>
      <x:c r="D16" s="151" t="n">
        <x:v>-1434.65</x:v>
      </x:c>
      <x:c r="E16" s="154"/>
      <x:c r="F16" s="154"/>
    </x:row>
    <x:row r="17">
      <x:c r="A17" s="151" t="n">
        <x:v>19990</x:v>
      </x:c>
      <x:c r="B17" s="151" t="n">
        <x:v>4890.35</x:v>
      </x:c>
      <x:c r="C17" s="152" t="n">
        <x:v>0.24464</x:v>
      </x:c>
      <x:c r="D17" s="151" t="n">
        <x:v>3390.35</x:v>
      </x:c>
      <x:c r="E17" s="154"/>
      <x:c r="F17" s="154"/>
    </x:row>
    <x:row r="18">
      <x:c r="A18" s="151" t="n">
        <x:v>26990</x:v>
      </x:c>
      <x:c r="B18" s="151" t="n">
        <x:v>11645.35</x:v>
      </x:c>
      <x:c r="C18" s="152" t="n">
        <x:v>0.43147</x:v>
      </x:c>
      <x:c r="D18" s="151" t="n">
        <x:v>10145.35</x:v>
      </x:c>
      <x:c r="E18" s="154"/>
      <x:c r="F18" s="154"/>
    </x:row>
    <x:row r="19">
      <x:c r="A19" s="142" t="str">
        <x:v>Денежный пилот</x:v>
      </x:c>
      <x:c r="B19" s="142" t="str">
        <x:v>Не включает оплату времени основателя</x:v>
      </x:c>
      <x:c r="C19" s="142" t="str">
        <x:v>Время показывается отдельно</x:v>
      </x:c>
      <x:c r="D19" s="142" t="str">
        <x:v>См. 05 / Pro Спорт</x:v>
      </x:c>
      <x:c r="E19" s="154"/>
      <x:c r="F19" s="154"/>
    </x:row>
    <x:row r="20">
      <x:c r="A20" s="143" t="str">
        <x:v>Capacity</x:v>
      </x:c>
      <x:c r="B20" s="143" t="str">
        <x:v>4 клиента публично</x:v>
      </x:c>
      <x:c r="C20" s="143" t="str">
        <x:v>8 после gate</x:v>
      </x:c>
      <x:c r="D20" s="143" t="str">
        <x:v>12 расчётный предел</x:v>
      </x:c>
      <x:c r="E20" s="154"/>
      <x:c r="F20" s="154"/>
    </x:row>
  </x:sheetData>
  <x:mergeCells>
    <x:mergeCell ref="A1:F1"/>
    <x:mergeCell ref="A2:F2"/>
    <x:mergeCell ref="A14:F14"/>
  </x:mergeCells>
  <x:pageMargins left="0.7" right="0.7" top="0.75" bottom="0.75" header="0.3" footer="0.3"/>
</x:worksheet>
</file>