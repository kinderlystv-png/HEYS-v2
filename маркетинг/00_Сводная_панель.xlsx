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Конкуренты" sheetId="2" state="visible" r:id="rId4"/>
    <sheet name="Telegram" sheetId="3" state="visible" r:id="rId5"/>
    <sheet name="KPI-трекер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<sst xmlns="http://schemas.openxmlformats.org/spreadsheetml/2006/main" count="256" uniqueCount="223">
  <si>
    <t xml:space="preserve">HEYS · Маркетинг-методология</t>
  </si>
  <si>
    <t xml:space="preserve">Сводная панель · снапшот 2026-06-10 · детали в файлах 01–22</t>
  </si>
  <si>
    <t xml:space="preserve">СУТЬ</t>
  </si>
  <si>
    <t xml:space="preserve">Приложение + живой куратор + протоколы. Продаём заботу и анти-срыв — «вас ведут, а не оставляют с цифрами», а не диету.</t>
  </si>
  <si>
    <t xml:space="preserve">ПОЗИЦИОНИРОВАНИЕ</t>
  </si>
  <si>
    <t xml:space="preserve">Между DIY-трекерами (нет человека, 0–500 ₽) и нутрициологом 1:1 (25 000+ ₽, нет приложения): ежедневный человек + приложение по доступной цене.</t>
  </si>
  <si>
    <t xml:space="preserve">ТАРИФНАЯ СЕТКА</t>
  </si>
  <si>
    <t xml:space="preserve">Тариф</t>
  </si>
  <si>
    <t xml:space="preserve">Цена/мес</t>
  </si>
  <si>
    <t xml:space="preserve">Куратор</t>
  </si>
  <si>
    <t xml:space="preserve">AI</t>
  </si>
  <si>
    <t xml:space="preserve">Удержание</t>
  </si>
  <si>
    <t xml:space="preserve">Self</t>
  </si>
  <si>
    <t xml:space="preserve">490 ₽</t>
  </si>
  <si>
    <t xml:space="preserve">—</t>
  </si>
  <si>
    <t xml:space="preserve">продление вручную</t>
  </si>
  <si>
    <t xml:space="preserve">Pro</t>
  </si>
  <si>
    <t xml:space="preserve">7 990 ₽*</t>
  </si>
  <si>
    <t xml:space="preserve">ежедневно</t>
  </si>
  <si>
    <t xml:space="preserve">нет (ввод руками — фича)</t>
  </si>
  <si>
    <t xml:space="preserve">продление ведёт куратор</t>
  </si>
  <si>
    <t xml:space="preserve">Pro+</t>
  </si>
  <si>
    <t xml:space="preserve">14 990 ₽</t>
  </si>
  <si>
    <t xml:space="preserve">ежедн. +</t>
  </si>
  <si>
    <t xml:space="preserve">Solo / Lite</t>
  </si>
  <si>
    <t xml:space="preserve">архив</t>
  </si>
  <si>
    <t xml:space="preserve">R&amp;D / вопрос после Ф0</t>
  </si>
  <si>
    <t xml:space="preserve"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</si>
  <si>
    <t xml:space="preserve">ЭКОНОМИКА</t>
  </si>
  <si>
    <t xml:space="preserve">LTV:CAC базовый</t>
  </si>
  <si>
    <t xml:space="preserve">LTV:CAC реальный</t>
  </si>
  <si>
    <t xml:space="preserve">Цель</t>
  </si>
  <si>
    <t xml:space="preserve">5,9×</t>
  </si>
  <si>
    <t xml:space="preserve">2,7×</t>
  </si>
  <si>
    <t xml:space="preserve">≥ 3,0×</t>
  </si>
  <si>
    <t xml:space="preserve">Реальный CAC ~10 500 ₽ (триал = время куратора); базовый ~7 500 ₽. Кэш Фазы 0 при 15 клиентах ~111 000 ₽/мес.</t>
  </si>
  <si>
    <t xml:space="preserve">ПРИОРИТЕТЫ СЕЙЧАС</t>
  </si>
  <si>
    <t xml:space="preserve">1.  Юр-структура НПД (план: ≤5 самозанятых) — договоры на результат, не оклад/график.</t>
  </si>
  <si>
    <t xml:space="preserve">2.  Оплата: без человека — автопродление; с куратором — продление ведёт куратор.</t>
  </si>
  <si>
    <t xml:space="preserve">3.  Измеримость: промокоды + «откуда узнали» + серверная Yandex Metrica (152-ФЗ).</t>
  </si>
  <si>
    <t xml:space="preserve">4.  AI: авто-ввод = Solo; в кураторском — «вторая пара глаз», ввод руками (фича).</t>
  </si>
  <si>
    <t xml:space="preserve">КАНАЛЫ</t>
  </si>
  <si>
    <t xml:space="preserve">Старт: Яндекс.Директ (горячий интент «как не срываться») + свой Telegram-контент. Далее: Telegram Ads/посевы, VK, РСЯ-ретаргет. Instagram-реклама — НЕТ.</t>
  </si>
  <si>
    <t xml:space="preserve">ВОРОНКА — ЦЕЛИ</t>
  </si>
  <si>
    <t xml:space="preserve">лид→триал ≥ 40%     триал→оплата ≥ 30%     отток ≤ 8–10%/мес     SLA ≤ 5%     ERID 100%</t>
  </si>
  <si>
    <t xml:space="preserve">ПЛАН 90 ДНЕЙ</t>
  </si>
  <si>
    <t xml:space="preserve">Ф1 (0–30): фундамент + ручной тёплый трафик.   Ф2 (31–60): Яндекс.Директ, найти CPL.   Ф3 (61–90): масштаб + Telegram + рефералы.</t>
  </si>
  <si>
    <t xml:space="preserve">ПРАВИЛО РОСТА</t>
  </si>
  <si>
    <t xml:space="preserve">Объём маркетинга = ёмкость кураторов, а не размер бюджета. Найм опережает закупку трафика.</t>
  </si>
  <si>
    <t xml:space="preserve">ФАЙЛЫ ПАКЕТА</t>
  </si>
  <si>
    <t xml:space="preserve">00 панель · 01 рынок · 02 SWOT · 03 каналы · 04 план · 05 финмодель · 06 конкуренты · 07 плейбук · 08 воронка/CRO · 09 кураторы · 10 слепые зоны · 11 фазы цены · 12 CalZen · 13 AI+тарифы</t>
  </si>
  <si>
    <t xml:space="preserve">Конкуренты · CalZen и др. · что перенять</t>
  </si>
  <si>
    <t xml:space="preserve">Снапшот 2026-06-09 · детали в 12_Конкуренты_сводная_таблица.md</t>
  </si>
  <si>
    <t xml:space="preserve">CALZEN — КОРОТКО</t>
  </si>
  <si>
    <t xml:space="preserve"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</si>
  <si>
    <t xml:space="preserve">СВОДНАЯ ТАБЛИЦА</t>
  </si>
  <si>
    <t xml:space="preserve">Критерий</t>
  </si>
  <si>
    <t xml:space="preserve">HEYS</t>
  </si>
  <si>
    <t xml:space="preserve">CalZen</t>
  </si>
  <si>
    <t xml:space="preserve">Трекеры</t>
  </si>
  <si>
    <t xml:space="preserve">Марафоны</t>
  </si>
  <si>
    <t xml:space="preserve">Нутрициолог 1:1</t>
  </si>
  <si>
    <t xml:space="preserve">Суть</t>
  </si>
  <si>
    <t xml:space="preserve">Прил.+куратор</t>
  </si>
  <si>
    <t xml:space="preserve">AI-трекер фото</t>
  </si>
  <si>
    <t xml:space="preserve">Ручной КБЖУ</t>
  </si>
  <si>
    <t xml:space="preserve">Курс-поток</t>
  </si>
  <si>
    <t xml:space="preserve">Консультации</t>
  </si>
  <si>
    <t xml:space="preserve">2 990–14 990 ₽</t>
  </si>
  <si>
    <t xml:space="preserve">~900 ₽</t>
  </si>
  <si>
    <t xml:space="preserve">0–500 ₽</t>
  </si>
  <si>
    <t xml:space="preserve">1,5–7 тыс/поток</t>
  </si>
  <si>
    <t xml:space="preserve">25–50 тыс+</t>
  </si>
  <si>
    <t xml:space="preserve">Ввод еды</t>
  </si>
  <si>
    <t xml:space="preserve">Фото→куратор вручную</t>
  </si>
  <si>
    <t xml:space="preserve">Фото→AI 3 сек</t>
  </si>
  <si>
    <t xml:space="preserve">Вручную</t>
  </si>
  <si>
    <t xml:space="preserve">Меню в чате</t>
  </si>
  <si>
    <t xml:space="preserve">Живой человек</t>
  </si>
  <si>
    <t xml:space="preserve">Да, ежедневно</t>
  </si>
  <si>
    <t xml:space="preserve">Нет</t>
  </si>
  <si>
    <t xml:space="preserve">На поток</t>
  </si>
  <si>
    <t xml:space="preserve">Эпизодически</t>
  </si>
  <si>
    <t xml:space="preserve">Анти-срыв</t>
  </si>
  <si>
    <t xml:space="preserve">Да</t>
  </si>
  <si>
    <t xml:space="preserve">Слабо</t>
  </si>
  <si>
    <t xml:space="preserve">Платформа</t>
  </si>
  <si>
    <t xml:space="preserve">PWA</t>
  </si>
  <si>
    <t xml:space="preserve">iOS/Android</t>
  </si>
  <si>
    <t xml:space="preserve">Натив</t>
  </si>
  <si>
    <t xml:space="preserve">Telegram</t>
  </si>
  <si>
    <t xml:space="preserve">Пруф / масштаб</t>
  </si>
  <si>
    <t xml:space="preserve">Старт</t>
  </si>
  <si>
    <t xml:space="preserve">3М, 4.8★</t>
  </si>
  <si>
    <t xml:space="preserve">Большой</t>
  </si>
  <si>
    <t xml:space="preserve">Отзывы</t>
  </si>
  <si>
    <t xml:space="preserve">Сарафан</t>
  </si>
  <si>
    <t xml:space="preserve">Данные в РФ (152-ФЗ)</t>
  </si>
  <si>
    <t xml:space="preserve">Разное</t>
  </si>
  <si>
    <t xml:space="preserve">Главная сила</t>
  </si>
  <si>
    <t xml:space="preserve">Человек+анти-срыв</t>
  </si>
  <si>
    <t xml:space="preserve">Скорость+пруф</t>
  </si>
  <si>
    <t xml:space="preserve">Бесплатно</t>
  </si>
  <si>
    <t xml:space="preserve">Дёшево</t>
  </si>
  <si>
    <t xml:space="preserve">Глубина 1:1</t>
  </si>
  <si>
    <t xml:space="preserve">Главная слабость</t>
  </si>
  <si>
    <t xml:space="preserve">Ввод вручную</t>
  </si>
  <si>
    <t xml:space="preserve">Нет человека</t>
  </si>
  <si>
    <t xml:space="preserve">Бросают</t>
  </si>
  <si>
    <t xml:space="preserve">Отток</t>
  </si>
  <si>
    <t xml:space="preserve">Дорого</t>
  </si>
  <si>
    <t xml:space="preserve">ЛЕНДИНГИ: CALZEN vs НАШ (отдельная категория)</t>
  </si>
  <si>
    <t xml:space="preserve">Блок</t>
  </si>
  <si>
    <t xml:space="preserve">Наш</t>
  </si>
  <si>
    <t xml:space="preserve">Что перенять</t>
  </si>
  <si>
    <t xml:space="preserve">Hero / посыл</t>
  </si>
  <si>
    <t xml:space="preserve">Outcome + боль угадывания</t>
  </si>
  <si>
    <t xml:space="preserve">Эмпатия, «без насилия»</t>
  </si>
  <si>
    <t xml:space="preserve">Усилить измеримость обещания</t>
  </si>
  <si>
    <t xml:space="preserve">Пруф над сгибом</t>
  </si>
  <si>
    <t xml:space="preserve">4.8★ / 3 млн / бэйджи — сразу</t>
  </si>
  <si>
    <t xml:space="preserve">Отзывы ниже по странице</t>
  </si>
  <si>
    <t xml:space="preserve">Поднять пруф выше</t>
  </si>
  <si>
    <t xml:space="preserve">Как работает</t>
  </si>
  <si>
    <t xml:space="preserve">3 шага + тайминги + стат «80% бросают»</t>
  </si>
  <si>
    <t xml:space="preserve">3 шага без цифр</t>
  </si>
  <si>
    <t xml:space="preserve">Тайминги + перевернуть стат в свою пользу</t>
  </si>
  <si>
    <t xml:space="preserve">Демо продукта</t>
  </si>
  <si>
    <t xml:space="preserve">Богатые мокапы UI</t>
  </si>
  <si>
    <t xml:space="preserve">Скромно, «пара экранов»</t>
  </si>
  <si>
    <t xml:space="preserve">Показать «фото→куратор внёс»</t>
  </si>
  <si>
    <t xml:space="preserve">Доверие / цитаты</t>
  </si>
  <si>
    <t xml:space="preserve">Научные ссылки, «90%»</t>
  </si>
  <si>
    <t xml:space="preserve">«Не медуслуга», 152-ФЗ</t>
  </si>
  <si>
    <t xml:space="preserve">+ медэксперт и методология (CRS/41 паттерн)</t>
  </si>
  <si>
    <t xml:space="preserve">CTA / трение</t>
  </si>
  <si>
    <t xml:space="preserve">Скачать, 3 дня, мгновенно</t>
  </si>
  <si>
    <t xml:space="preserve">7 дней, без карты, по записи</t>
  </si>
  <si>
    <t xml:space="preserve">Оставить (премиум); risk-reversal к тарифам</t>
  </si>
  <si>
    <t xml:space="preserve">SEO-актив</t>
  </si>
  <si>
    <t xml:space="preserve">Калькуляторы TDEE/BMI</t>
  </si>
  <si>
    <t xml:space="preserve">Сделать калькуляторы</t>
  </si>
  <si>
    <t xml:space="preserve">Платформа-пруф</t>
  </si>
  <si>
    <t xml:space="preserve">Бэйджи сторов + рейтинги</t>
  </si>
  <si>
    <t xml:space="preserve">PWA — нет</t>
  </si>
  <si>
    <t xml:space="preserve">RuStore / нативное приложение</t>
  </si>
  <si>
    <t xml:space="preserve">ТОП-5 ЧТО ПЕРЕНЯТЬ В ПРОДУКТ</t>
  </si>
  <si>
    <t xml:space="preserve">1. AI авто-распознавание = Solo-тариф (масштаб без куратора). В кураторском тарифе AI — «вторая пара глаз» (качество/безопасность, не скорость); ввод остаётся ручным как фича. [NOW/NEXT]</t>
  </si>
  <si>
    <t xml:space="preserve">2. Нативное приложение / RuStore — сторовые пруф-сигналы и доверие (закрыть PWA-разрыв). [NEXT]</t>
  </si>
  <si>
    <t xml:space="preserve">3. Инфраструктура доказательств — счётчики, рейтинги, кейсы процесса, научные ссылки. [NEXT]</t>
  </si>
  <si>
    <t xml:space="preserve">4. SEO-калькуляторы (TDEE / калорийность / дефицит / BMI) — бесплатный органический трафик. [NEXT]</t>
  </si>
  <si>
    <t xml:space="preserve">5. Лендинг: поднять пруф выше + квантифицировать усилие + перевернуть стат «бросают без человека». [NOW]</t>
  </si>
  <si>
    <t xml:space="preserve">ЧЕГО НЕ КОПИРОВАТЬ</t>
  </si>
  <si>
    <t xml:space="preserve"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</si>
  <si>
    <t xml:space="preserve">Telegram · продвижение и ведение</t>
  </si>
  <si>
    <t xml:space="preserve">Краткий план. Полный how-to — 14_Telegram_плейбук.md</t>
  </si>
  <si>
    <t xml:space="preserve">РОЛЬ</t>
  </si>
  <si>
    <t xml:space="preserve">Главный канал РФ (~40% инфлюенс-рынка). Связка: канал (прогрев) → бот-магнит → заявка на неделю → куратор. 35–40% каналов накручены → проверять TGStat.</t>
  </si>
  <si>
    <t xml:space="preserve">РУБРИКИ (повторяемый каркас)</t>
  </si>
  <si>
    <t xml:space="preserve">Рубрика</t>
  </si>
  <si>
    <t xml:space="preserve">Частота</t>
  </si>
  <si>
    <t xml:space="preserve">Механика срывов</t>
  </si>
  <si>
    <t xml:space="preserve">Захват боли (верх)</t>
  </si>
  <si>
    <t xml:space="preserve">1/нед</t>
  </si>
  <si>
    <t xml:space="preserve">Анти-марафон</t>
  </si>
  <si>
    <t xml:space="preserve">Отстройка</t>
  </si>
  <si>
    <t xml:space="preserve">1–2/мес</t>
  </si>
  <si>
    <t xml:space="preserve">Кухня сопровождения</t>
  </si>
  <si>
    <t xml:space="preserve">Ценность куратора</t>
  </si>
  <si>
    <t xml:space="preserve">Кейсы (процесс)</t>
  </si>
  <si>
    <t xml:space="preserve">Доверие (низ)</t>
  </si>
  <si>
    <t xml:space="preserve">2–3/мес</t>
  </si>
  <si>
    <t xml:space="preserve">Прозрачность</t>
  </si>
  <si>
    <t xml:space="preserve">Честный SLA, «не медуслуга»</t>
  </si>
  <si>
    <t xml:space="preserve">Польза / режим</t>
  </si>
  <si>
    <t xml:space="preserve">Образование</t>
  </si>
  <si>
    <t xml:space="preserve">РИТМ ВЕДЕНИЯ</t>
  </si>
  <si>
    <t xml:space="preserve"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</si>
  <si>
    <t xml:space="preserve">ПРОДВИЖЕНИЕ</t>
  </si>
  <si>
    <t xml:space="preserve">Органика: закреп → бот-магнит, взаимопиар с непрямыми (тренеры/ЗОЖ/выгорание), UGC и отзывы.</t>
  </si>
  <si>
    <t xml:space="preserve">Посевы: только TGStat-проверка — ER ≥ 1,5–2%, доля ботов &lt; 10%; тест с промокодом/UTM.</t>
  </si>
  <si>
    <t xml:space="preserve">Telegram Ads: через eLama (от 0 €, комиссия 15%); CPM €4–6 — считать CPL; вести на канал/магнит, не в оплату.</t>
  </si>
  <si>
    <t xml:space="preserve">ВОРОНКА</t>
  </si>
  <si>
    <t xml:space="preserve">Холодный (Ads/посев) и тёплый (контент) → бот-магнит (тест/чек-лист) → запись на неделю (по ёмкости куратора!) → куратор. Все ссылки — с UTM/промокодом (аналитика урезана под 152-ФЗ).</t>
  </si>
  <si>
    <t xml:space="preserve">МЕТРИКИ</t>
  </si>
  <si>
    <t xml:space="preserve">ER ≥ 1,5–2%   ·   доля ботов в доноре &lt; 10%   ·   CPL под целевым   ·   лид→неделя ≥ 40%   ·   неделя→оплата ≥ 30%</t>
  </si>
  <si>
    <t xml:space="preserve">ЛЕГАЛ</t>
  </si>
  <si>
    <t xml:space="preserve">Свой контент в своём канале — ERID не нужен. Посевы/Ads — ERID + отчёт в ОРД до 30 числа + 3% рекламный сбор. Формулировки по COPY_VOICE.</t>
  </si>
  <si>
    <t xml:space="preserve">ЧЕГО НЕ ДЕЛАТЬ</t>
  </si>
  <si>
    <t xml:space="preserve">Накрученные каналы; холодный трафик сразу в оплату; спам в чаты без разрешения; «−N кг» / «24/7» / «психолог».</t>
  </si>
  <si>
    <t xml:space="preserve">KPI-трекер — обновляй «Факт» (жёлтые ячейки) еженедельно</t>
  </si>
  <si>
    <t xml:space="preserve">Метрика</t>
  </si>
  <si>
    <t xml:space="preserve">Напр.</t>
  </si>
  <si>
    <t xml:space="preserve">Факт</t>
  </si>
  <si>
    <t xml:space="preserve">Статус</t>
  </si>
  <si>
    <t xml:space="preserve">Источник / комментарий</t>
  </si>
  <si>
    <t xml:space="preserve">Активных клиентов</t>
  </si>
  <si>
    <t xml:space="preserve">≥</t>
  </si>
  <si>
    <t xml:space="preserve">Ф0: цель 15</t>
  </si>
  <si>
    <t xml:space="preserve">Свободная ёмкость кураторов</t>
  </si>
  <si>
    <t xml:space="preserve">кураторы×14 − активные Pro</t>
  </si>
  <si>
    <t xml:space="preserve">Новых триалов / нед</t>
  </si>
  <si>
    <t xml:space="preserve">по ёмкости, не по бюджету</t>
  </si>
  <si>
    <t xml:space="preserve">Лид → триал</t>
  </si>
  <si>
    <t xml:space="preserve">CRM</t>
  </si>
  <si>
    <t xml:space="preserve">Триал → оплата</t>
  </si>
  <si>
    <t xml:space="preserve">Trial Machine — ключевая</t>
  </si>
  <si>
    <t xml:space="preserve">CPL, ₽</t>
  </si>
  <si>
    <t xml:space="preserve">≤</t>
  </si>
  <si>
    <t xml:space="preserve">под целевым CAC</t>
  </si>
  <si>
    <t xml:space="preserve">Реальный CAC, ₽</t>
  </si>
  <si>
    <t xml:space="preserve">лист «Реальность-чек»</t>
  </si>
  <si>
    <t xml:space="preserve">LTV : CAC</t>
  </si>
  <si>
    <t xml:space="preserve">цель ≥ 3,0x</t>
  </si>
  <si>
    <t xml:space="preserve">Отток / мес</t>
  </si>
  <si>
    <t xml:space="preserve">биллинг</t>
  </si>
  <si>
    <t xml:space="preserve">SLA-нарушения</t>
  </si>
  <si>
    <t xml:space="preserve">операционка</t>
  </si>
  <si>
    <t xml:space="preserve">ERID-покрытие креативов</t>
  </si>
  <si>
    <t xml:space="preserve">маркировка рекламы</t>
  </si>
  <si>
    <t xml:space="preserve">Выручка / мес, ₽</t>
  </si>
  <si>
    <t xml:space="preserve">растёт</t>
  </si>
  <si>
    <t xml:space="preserve">✅ в норме · ⚠ ниже цели · — нет данных / нет числовой цели. Меняй цели под текущую фазу (Ф0/Ф1).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</si>
</sst>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&quot; ₽&quot;;\(#,##0&quot; ₽)&quot;;\-"/>
    <numFmt numFmtId="168" formatCode="0.0\x"/>
  </numFmts>
  <fonts count="33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9"/>
      <color rgb="FFC9D6DA"/>
      <name val="Arial"/>
      <family val="0"/>
      <charset val="1"/>
    </font>
    <font>
      <b val="true"/>
      <sz val="9"/>
      <color rgb="FF2F8F7F"/>
      <name val="Arial"/>
      <family val="0"/>
      <charset val="1"/>
    </font>
    <font>
      <sz val="10"/>
      <color rgb="FF2B364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B3640"/>
      <name val="Arial"/>
      <family val="0"/>
      <charset val="1"/>
    </font>
    <font>
      <sz val="9"/>
      <color rgb="FF2B3640"/>
      <name val="Arial"/>
      <family val="0"/>
      <charset val="1"/>
    </font>
    <font>
      <i val="true"/>
      <sz val="9"/>
      <color rgb="FF7A8794"/>
      <name val="Arial"/>
      <family val="0"/>
      <charset val="1"/>
    </font>
    <font>
      <sz val="9"/>
      <color rgb="FF7A8794"/>
      <name val="Arial"/>
      <family val="0"/>
      <charset val="1"/>
    </font>
    <font>
      <b val="true"/>
      <sz val="22"/>
      <color rgb="FF2F8F7F"/>
      <name val="Arial"/>
      <family val="0"/>
      <charset val="1"/>
    </font>
    <font>
      <b val="true"/>
      <sz val="22"/>
      <color rgb="FFC0392B"/>
      <name val="Arial"/>
      <family val="0"/>
      <charset val="1"/>
    </font>
    <font>
      <b val="true"/>
      <sz val="18"/>
      <color rgb="FF15323D"/>
      <name val="Arial"/>
      <family val="0"/>
      <charset val="1"/>
    </font>
    <font>
      <b val="true"/>
      <sz val="10"/>
      <color rgb="FF2B364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1F4E7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555555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F8F7F"/>
      </bottom>
      <diagonal/>
    </border>
    <border diagonalUp="false" diagonalDown="false"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1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7"/>
    <col collapsed="false" customWidth="true" hidden="false" outlineLevel="0" max="6" min="3" style="1" width="17"/>
    <col collapsed="false" customWidth="true" hidden="false" outlineLevel="0" max="7" min="7" style="1" width="2.5"/>
  </cols>
  <sheetData>
    <row r="1" customFormat="false" ht="33.75" hidden="false" customHeight="true" outlineLevel="0" collapsed="false">
      <c r="A1" s="2"/>
      <c r="B1" s="3" t="s">
        <v>0</v>
      </c>
      <c r="C1" s="3"/>
      <c r="D1" s="3"/>
      <c r="E1" s="3"/>
      <c r="F1" s="3"/>
      <c r="G1" s="2"/>
    </row>
    <row r="2" customFormat="false" ht="18" hidden="false" customHeight="true" outlineLevel="0" collapsed="false">
      <c r="A2" s="2"/>
      <c r="B2" s="4" t="s">
        <v>1</v>
      </c>
      <c r="C2" s="4"/>
      <c r="D2" s="4"/>
      <c r="E2" s="4"/>
      <c r="F2" s="4"/>
      <c r="G2" s="2"/>
    </row>
    <row r="3" customFormat="false" ht="6.75" hidden="false" customHeight="true" outlineLevel="0" collapsed="false">
      <c r="A3" s="2"/>
      <c r="G3" s="2"/>
    </row>
    <row r="4" customFormat="false" ht="19.5" hidden="false" customHeight="true" outlineLevel="0" collapsed="false">
      <c r="A4" s="2"/>
      <c r="B4" s="5" t="s">
        <v>2</v>
      </c>
      <c r="C4" s="5"/>
      <c r="D4" s="5"/>
      <c r="E4" s="5"/>
      <c r="F4" s="5"/>
      <c r="G4" s="2"/>
    </row>
    <row r="5" customFormat="false" ht="39" hidden="false" customHeight="true" outlineLevel="0" collapsed="false">
      <c r="A5" s="2"/>
      <c r="B5" s="6" t="s">
        <v>3</v>
      </c>
      <c r="C5" s="6"/>
      <c r="D5" s="6"/>
      <c r="E5" s="6"/>
      <c r="F5" s="6"/>
      <c r="G5" s="2"/>
    </row>
    <row r="6" customFormat="false" ht="6.75" hidden="false" customHeight="true" outlineLevel="0" collapsed="false">
      <c r="A6" s="2"/>
      <c r="G6" s="2"/>
    </row>
    <row r="7" customFormat="false" ht="19.5" hidden="false" customHeight="true" outlineLevel="0" collapsed="false">
      <c r="A7" s="2"/>
      <c r="B7" s="5" t="s">
        <v>4</v>
      </c>
      <c r="C7" s="5"/>
      <c r="D7" s="5"/>
      <c r="E7" s="5"/>
      <c r="F7" s="5"/>
      <c r="G7" s="2"/>
    </row>
    <row r="8" customFormat="false" ht="39" hidden="false" customHeight="true" outlineLevel="0" collapsed="false">
      <c r="A8" s="2"/>
      <c r="B8" s="6" t="s">
        <v>5</v>
      </c>
      <c r="C8" s="6"/>
      <c r="D8" s="6"/>
      <c r="E8" s="6"/>
      <c r="F8" s="6"/>
      <c r="G8" s="2"/>
    </row>
    <row r="9" customFormat="false" ht="6.75" hidden="false" customHeight="true" outlineLevel="0" collapsed="false">
      <c r="A9" s="2"/>
      <c r="G9" s="2"/>
    </row>
    <row r="10" customFormat="false" ht="19.5" hidden="false" customHeight="true" outlineLevel="0" collapsed="false">
      <c r="A10" s="2"/>
      <c r="B10" s="5" t="s">
        <v>6</v>
      </c>
      <c r="C10" s="5"/>
      <c r="D10" s="5"/>
      <c r="E10" s="5"/>
      <c r="F10" s="5"/>
      <c r="G10" s="2"/>
    </row>
    <row r="11" customFormat="false" ht="18" hidden="false" customHeight="true" outlineLevel="0" collapsed="false">
      <c r="A11" s="2"/>
      <c r="B11" s="7" t="s">
        <v>7</v>
      </c>
      <c r="C11" s="8" t="s">
        <v>8</v>
      </c>
      <c r="D11" s="8" t="s">
        <v>9</v>
      </c>
      <c r="E11" s="8" t="s">
        <v>10</v>
      </c>
      <c r="F11" s="8" t="s">
        <v>11</v>
      </c>
      <c r="G11" s="2"/>
    </row>
    <row r="12" customFormat="false" ht="16.5" hidden="false" customHeight="true" outlineLevel="0" collapsed="false">
      <c r="A12" s="2"/>
      <c r="B12" s="9" t="s">
        <v>12</v>
      </c>
      <c r="C12" s="10" t="s">
        <v>13</v>
      </c>
      <c r="D12" s="10" t="s">
        <v>14</v>
      </c>
      <c r="E12" s="10" t="s">
        <v>14</v>
      </c>
      <c r="F12" s="10" t="s">
        <v>15</v>
      </c>
      <c r="G12" s="2"/>
    </row>
    <row r="13" customFormat="false" ht="16.5" hidden="false" customHeight="true" outlineLevel="0" collapsed="false">
      <c r="A13" s="2"/>
      <c r="B13" s="11" t="s">
        <v>16</v>
      </c>
      <c r="C13" s="12" t="s">
        <v>17</v>
      </c>
      <c r="D13" s="12" t="s">
        <v>18</v>
      </c>
      <c r="E13" s="12" t="s">
        <v>19</v>
      </c>
      <c r="F13" s="12" t="s">
        <v>20</v>
      </c>
      <c r="G13" s="2"/>
    </row>
    <row r="14" customFormat="false" ht="16.5" hidden="false" customHeight="true" outlineLevel="0" collapsed="false">
      <c r="A14" s="2"/>
      <c r="B14" s="9" t="s">
        <v>21</v>
      </c>
      <c r="C14" s="10" t="s">
        <v>22</v>
      </c>
      <c r="D14" s="10" t="s">
        <v>23</v>
      </c>
      <c r="E14" s="10" t="s">
        <v>19</v>
      </c>
      <c r="F14" s="10" t="s">
        <v>20</v>
      </c>
      <c r="G14" s="2"/>
    </row>
    <row r="15" customFormat="false" ht="16.5" hidden="false" customHeight="true" outlineLevel="0" collapsed="false">
      <c r="A15" s="2"/>
      <c r="B15" s="13" t="s">
        <v>24</v>
      </c>
      <c r="C15" s="14" t="s">
        <v>25</v>
      </c>
      <c r="D15" s="14" t="s">
        <v>14</v>
      </c>
      <c r="E15" s="14" t="s">
        <v>14</v>
      </c>
      <c r="F15" s="14" t="s">
        <v>26</v>
      </c>
      <c r="G15" s="2"/>
    </row>
    <row r="16" customFormat="false" ht="16.5" hidden="false" customHeight="true" outlineLevel="0" collapsed="false">
      <c r="A16" s="2"/>
      <c r="B16" s="13"/>
      <c r="C16" s="14"/>
      <c r="D16" s="14"/>
      <c r="E16" s="14"/>
      <c r="F16" s="14"/>
      <c r="G16" s="2"/>
    </row>
    <row r="17" customFormat="false" ht="39" hidden="false" customHeight="true" outlineLevel="0" collapsed="false">
      <c r="A17" s="2"/>
      <c r="B17" s="15" t="s">
        <v>27</v>
      </c>
      <c r="C17" s="15"/>
      <c r="D17" s="15"/>
      <c r="E17" s="15"/>
      <c r="F17" s="15"/>
      <c r="G17" s="2"/>
    </row>
    <row r="18" customFormat="false" ht="6.75" hidden="false" customHeight="true" outlineLevel="0" collapsed="false">
      <c r="A18" s="2"/>
      <c r="G18" s="2"/>
    </row>
    <row r="19" customFormat="false" ht="19.5" hidden="false" customHeight="true" outlineLevel="0" collapsed="false">
      <c r="A19" s="2"/>
      <c r="B19" s="5" t="s">
        <v>28</v>
      </c>
      <c r="C19" s="5"/>
      <c r="D19" s="5"/>
      <c r="E19" s="5"/>
      <c r="F19" s="5"/>
      <c r="G19" s="2"/>
    </row>
    <row r="20" customFormat="false" ht="15" hidden="false" customHeight="true" outlineLevel="0" collapsed="false">
      <c r="A20" s="2"/>
      <c r="B20" s="16" t="s">
        <v>29</v>
      </c>
      <c r="C20" s="16"/>
      <c r="D20" s="16" t="s">
        <v>30</v>
      </c>
      <c r="E20" s="16"/>
      <c r="F20" s="17" t="s">
        <v>31</v>
      </c>
      <c r="G20" s="2"/>
    </row>
    <row r="21" customFormat="false" ht="30" hidden="false" customHeight="true" outlineLevel="0" collapsed="false">
      <c r="A21" s="2"/>
      <c r="B21" s="18" t="s">
        <v>32</v>
      </c>
      <c r="C21" s="18"/>
      <c r="D21" s="19" t="s">
        <v>33</v>
      </c>
      <c r="E21" s="19"/>
      <c r="F21" s="20" t="s">
        <v>34</v>
      </c>
      <c r="G21" s="2"/>
    </row>
    <row r="22" customFormat="false" ht="39" hidden="false" customHeight="true" outlineLevel="0" collapsed="false">
      <c r="A22" s="2"/>
      <c r="B22" s="15" t="s">
        <v>35</v>
      </c>
      <c r="C22" s="15"/>
      <c r="D22" s="15"/>
      <c r="E22" s="15"/>
      <c r="F22" s="15"/>
      <c r="G22" s="2"/>
    </row>
    <row r="23" customFormat="false" ht="6.75" hidden="false" customHeight="true" outlineLevel="0" collapsed="false">
      <c r="A23" s="2"/>
      <c r="G23" s="2"/>
    </row>
    <row r="24" customFormat="false" ht="19.5" hidden="false" customHeight="true" outlineLevel="0" collapsed="false">
      <c r="A24" s="2"/>
      <c r="B24" s="5" t="s">
        <v>36</v>
      </c>
      <c r="C24" s="5"/>
      <c r="D24" s="5"/>
      <c r="E24" s="5"/>
      <c r="F24" s="5"/>
      <c r="G24" s="2"/>
    </row>
    <row r="25" customFormat="false" ht="18" hidden="false" customHeight="true" outlineLevel="0" collapsed="false">
      <c r="A25" s="2"/>
      <c r="B25" s="21" t="s">
        <v>37</v>
      </c>
      <c r="C25" s="21"/>
      <c r="D25" s="21"/>
      <c r="E25" s="21"/>
      <c r="F25" s="21"/>
      <c r="G25" s="2"/>
    </row>
    <row r="26" customFormat="false" ht="18" hidden="false" customHeight="true" outlineLevel="0" collapsed="false">
      <c r="A26" s="2"/>
      <c r="B26" s="6" t="s">
        <v>38</v>
      </c>
      <c r="C26" s="6"/>
      <c r="D26" s="6"/>
      <c r="E26" s="6"/>
      <c r="F26" s="6"/>
      <c r="G26" s="2"/>
    </row>
    <row r="27" customFormat="false" ht="18" hidden="false" customHeight="true" outlineLevel="0" collapsed="false">
      <c r="A27" s="2"/>
      <c r="B27" s="21" t="s">
        <v>39</v>
      </c>
      <c r="C27" s="21"/>
      <c r="D27" s="21"/>
      <c r="E27" s="21"/>
      <c r="F27" s="21"/>
      <c r="G27" s="2"/>
    </row>
    <row r="28" customFormat="false" ht="18" hidden="false" customHeight="true" outlineLevel="0" collapsed="false">
      <c r="A28" s="2"/>
      <c r="B28" s="6" t="s">
        <v>40</v>
      </c>
      <c r="C28" s="6"/>
      <c r="D28" s="6"/>
      <c r="E28" s="6"/>
      <c r="F28" s="6"/>
      <c r="G28" s="2"/>
    </row>
    <row r="29" customFormat="false" ht="6.75" hidden="false" customHeight="true" outlineLevel="0" collapsed="false">
      <c r="A29" s="2"/>
      <c r="G29" s="2"/>
    </row>
    <row r="30" customFormat="false" ht="19.5" hidden="false" customHeight="true" outlineLevel="0" collapsed="false">
      <c r="A30" s="2"/>
      <c r="B30" s="5" t="s">
        <v>41</v>
      </c>
      <c r="C30" s="5"/>
      <c r="D30" s="5"/>
      <c r="E30" s="5"/>
      <c r="F30" s="5"/>
      <c r="G30" s="2"/>
    </row>
    <row r="31" customFormat="false" ht="39" hidden="false" customHeight="true" outlineLevel="0" collapsed="false">
      <c r="A31" s="2"/>
      <c r="B31" s="6" t="s">
        <v>42</v>
      </c>
      <c r="C31" s="6"/>
      <c r="D31" s="6"/>
      <c r="E31" s="6"/>
      <c r="F31" s="6"/>
      <c r="G31" s="2"/>
    </row>
    <row r="32" customFormat="false" ht="6.75" hidden="false" customHeight="true" outlineLevel="0" collapsed="false">
      <c r="A32" s="2"/>
      <c r="G32" s="2"/>
    </row>
    <row r="33" customFormat="false" ht="19.5" hidden="false" customHeight="true" outlineLevel="0" collapsed="false">
      <c r="A33" s="2"/>
      <c r="B33" s="5" t="s">
        <v>43</v>
      </c>
      <c r="C33" s="5"/>
      <c r="D33" s="5"/>
      <c r="E33" s="5"/>
      <c r="F33" s="5"/>
      <c r="G33" s="2"/>
    </row>
    <row r="34" customFormat="false" ht="24" hidden="false" customHeight="true" outlineLevel="0" collapsed="false">
      <c r="A34" s="2"/>
      <c r="B34" s="6" t="s">
        <v>44</v>
      </c>
      <c r="C34" s="6"/>
      <c r="D34" s="6"/>
      <c r="E34" s="6"/>
      <c r="F34" s="6"/>
      <c r="G34" s="2"/>
    </row>
    <row r="35" customFormat="false" ht="6.75" hidden="false" customHeight="true" outlineLevel="0" collapsed="false">
      <c r="A35" s="2"/>
      <c r="G35" s="2"/>
    </row>
    <row r="36" customFormat="false" ht="19.5" hidden="false" customHeight="true" outlineLevel="0" collapsed="false">
      <c r="A36" s="2"/>
      <c r="B36" s="5" t="s">
        <v>45</v>
      </c>
      <c r="C36" s="5"/>
      <c r="D36" s="5"/>
      <c r="E36" s="5"/>
      <c r="F36" s="5"/>
      <c r="G36" s="2"/>
    </row>
    <row r="37" customFormat="false" ht="39" hidden="false" customHeight="true" outlineLevel="0" collapsed="false">
      <c r="A37" s="2"/>
      <c r="B37" s="6" t="s">
        <v>46</v>
      </c>
      <c r="C37" s="6"/>
      <c r="D37" s="6"/>
      <c r="E37" s="6"/>
      <c r="F37" s="6"/>
      <c r="G37" s="2"/>
    </row>
    <row r="38" customFormat="false" ht="6.75" hidden="false" customHeight="true" outlineLevel="0" collapsed="false">
      <c r="A38" s="2"/>
      <c r="G38" s="2"/>
    </row>
    <row r="39" customFormat="false" ht="19.5" hidden="false" customHeight="true" outlineLevel="0" collapsed="false">
      <c r="A39" s="2"/>
      <c r="B39" s="5" t="s">
        <v>47</v>
      </c>
      <c r="C39" s="5"/>
      <c r="D39" s="5"/>
      <c r="E39" s="5"/>
      <c r="F39" s="5"/>
      <c r="G39" s="2"/>
    </row>
    <row r="40" customFormat="false" ht="39" hidden="false" customHeight="true" outlineLevel="0" collapsed="false">
      <c r="A40" s="2"/>
      <c r="B40" s="22" t="s">
        <v>48</v>
      </c>
      <c r="C40" s="22"/>
      <c r="D40" s="22"/>
      <c r="E40" s="22"/>
      <c r="F40" s="22"/>
      <c r="G40" s="2"/>
    </row>
    <row r="41" customFormat="false" ht="6.75" hidden="false" customHeight="true" outlineLevel="0" collapsed="false">
      <c r="A41" s="2"/>
      <c r="G41" s="2"/>
    </row>
    <row r="42" customFormat="false" ht="19.5" hidden="false" customHeight="true" outlineLevel="0" collapsed="false">
      <c r="A42" s="2"/>
      <c r="B42" s="5" t="s">
        <v>49</v>
      </c>
      <c r="C42" s="5"/>
      <c r="D42" s="5"/>
      <c r="E42" s="5"/>
      <c r="F42" s="5"/>
      <c r="G42" s="2"/>
    </row>
    <row r="43" customFormat="false" ht="54" hidden="false" customHeight="true" outlineLevel="0" collapsed="false">
      <c r="A43" s="2"/>
      <c r="B43" s="23" t="s">
        <v>50</v>
      </c>
      <c r="C43" s="23"/>
      <c r="D43" s="23"/>
      <c r="E43" s="23"/>
      <c r="F43" s="23"/>
      <c r="G43" s="2"/>
    </row>
    <row r="44" customFormat="false" ht="15" hidden="false" customHeight="true" outlineLevel="0" collapsed="false">
      <c r="A44" s="2"/>
      <c r="G44" s="2"/>
    </row>
  </sheetData>
  <mergeCells count="29">
    <mergeCell ref="B1:F1"/>
    <mergeCell ref="B2:F2"/>
    <mergeCell ref="B4:F4"/>
    <mergeCell ref="B5:F5"/>
    <mergeCell ref="B7:F7"/>
    <mergeCell ref="B8:F8"/>
    <mergeCell ref="B10:F10"/>
    <mergeCell ref="B17:F17"/>
    <mergeCell ref="B19:F19"/>
    <mergeCell ref="B20:C20"/>
    <mergeCell ref="D20:E20"/>
    <mergeCell ref="B21:C21"/>
    <mergeCell ref="D21:E21"/>
    <mergeCell ref="B22:F22"/>
    <mergeCell ref="B24:F24"/>
    <mergeCell ref="B25:F25"/>
    <mergeCell ref="B26:F26"/>
    <mergeCell ref="B27:F27"/>
    <mergeCell ref="B28:F28"/>
    <mergeCell ref="B30:F30"/>
    <mergeCell ref="B31:F31"/>
    <mergeCell ref="B33:F33"/>
    <mergeCell ref="B34:F34"/>
    <mergeCell ref="B36:F36"/>
    <mergeCell ref="B37:F37"/>
    <mergeCell ref="B39:F39"/>
    <mergeCell ref="B40:F40"/>
    <mergeCell ref="B42:F42"/>
    <mergeCell ref="B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7"/>
    <col collapsed="false" customWidth="true" hidden="false" outlineLevel="0" max="4" min="4" style="1" width="16"/>
    <col collapsed="false" customWidth="true" hidden="false" outlineLevel="0" max="6" min="5" style="1" width="15"/>
  </cols>
  <sheetData>
    <row r="1" customFormat="false" ht="25.5" hidden="false" customHeight="true" outlineLevel="0" collapsed="false">
      <c r="A1" s="24" t="s">
        <v>51</v>
      </c>
      <c r="B1" s="24"/>
      <c r="C1" s="24"/>
      <c r="D1" s="24"/>
      <c r="E1" s="24"/>
      <c r="F1" s="24"/>
    </row>
    <row r="2" customFormat="false" ht="15" hidden="false" customHeight="true" outlineLevel="0" collapsed="false">
      <c r="A2" s="25" t="s">
        <v>52</v>
      </c>
      <c r="B2" s="25"/>
      <c r="C2" s="25"/>
      <c r="D2" s="25"/>
      <c r="E2" s="25"/>
      <c r="F2" s="25"/>
    </row>
    <row r="3" customFormat="false" ht="15" hidden="false" customHeight="true" outlineLevel="0" collapsed="false"/>
    <row r="4" customFormat="false" ht="15.75" hidden="false" customHeight="true" outlineLevel="0" collapsed="false">
      <c r="A4" s="26" t="s">
        <v>53</v>
      </c>
      <c r="B4" s="26"/>
      <c r="C4" s="26"/>
      <c r="D4" s="26"/>
      <c r="E4" s="26"/>
      <c r="F4" s="26"/>
    </row>
    <row r="5" customFormat="false" ht="45" hidden="false" customHeight="true" outlineLevel="0" collapsed="false">
      <c r="A5" s="27" t="s">
        <v>54</v>
      </c>
      <c r="B5" s="27"/>
      <c r="C5" s="27"/>
      <c r="D5" s="27"/>
      <c r="E5" s="27"/>
      <c r="F5" s="27"/>
    </row>
    <row r="6" customFormat="false" ht="15" hidden="false" customHeight="true" outlineLevel="0" collapsed="false">
      <c r="A6" s="27"/>
      <c r="B6" s="27"/>
      <c r="C6" s="27"/>
      <c r="D6" s="27"/>
      <c r="E6" s="27"/>
      <c r="F6" s="27"/>
    </row>
    <row r="7" customFormat="false" ht="15" hidden="false" customHeight="true" outlineLevel="0" collapsed="false">
      <c r="A7" s="27"/>
      <c r="B7" s="27"/>
      <c r="C7" s="27"/>
      <c r="D7" s="27"/>
      <c r="E7" s="27"/>
      <c r="F7" s="27"/>
    </row>
    <row r="8" customFormat="false" ht="15.75" hidden="false" customHeight="true" outlineLevel="0" collapsed="false">
      <c r="A8" s="26" t="s">
        <v>55</v>
      </c>
      <c r="B8" s="26"/>
      <c r="C8" s="26"/>
      <c r="D8" s="26"/>
      <c r="E8" s="26"/>
      <c r="F8" s="26"/>
    </row>
    <row r="9" customFormat="false" ht="15" hidden="false" customHeight="true" outlineLevel="0" collapsed="false">
      <c r="A9" s="28" t="s">
        <v>56</v>
      </c>
      <c r="B9" s="28" t="s">
        <v>57</v>
      </c>
      <c r="C9" s="28" t="s">
        <v>58</v>
      </c>
      <c r="D9" s="28" t="s">
        <v>59</v>
      </c>
      <c r="E9" s="28" t="s">
        <v>60</v>
      </c>
      <c r="F9" s="28" t="s">
        <v>61</v>
      </c>
    </row>
    <row r="10" customFormat="false" ht="25.5" hidden="false" customHeight="true" outlineLevel="0" collapsed="false">
      <c r="A10" s="29" t="s">
        <v>62</v>
      </c>
      <c r="B10" s="30" t="s">
        <v>63</v>
      </c>
      <c r="C10" s="31" t="s">
        <v>64</v>
      </c>
      <c r="D10" s="31" t="s">
        <v>65</v>
      </c>
      <c r="E10" s="31" t="s">
        <v>66</v>
      </c>
      <c r="F10" s="31" t="s">
        <v>67</v>
      </c>
    </row>
    <row r="11" customFormat="false" ht="25.5" hidden="false" customHeight="true" outlineLevel="0" collapsed="false">
      <c r="A11" s="29" t="s">
        <v>8</v>
      </c>
      <c r="B11" s="30" t="s">
        <v>68</v>
      </c>
      <c r="C11" s="31" t="s">
        <v>69</v>
      </c>
      <c r="D11" s="31" t="s">
        <v>70</v>
      </c>
      <c r="E11" s="31" t="s">
        <v>71</v>
      </c>
      <c r="F11" s="31" t="s">
        <v>72</v>
      </c>
    </row>
    <row r="12" customFormat="false" ht="25.5" hidden="false" customHeight="true" outlineLevel="0" collapsed="false">
      <c r="A12" s="29" t="s">
        <v>73</v>
      </c>
      <c r="B12" s="30" t="s">
        <v>74</v>
      </c>
      <c r="C12" s="31" t="s">
        <v>75</v>
      </c>
      <c r="D12" s="31" t="s">
        <v>76</v>
      </c>
      <c r="E12" s="31" t="s">
        <v>77</v>
      </c>
      <c r="F12" s="31" t="s">
        <v>76</v>
      </c>
    </row>
    <row r="13" customFormat="false" ht="25.5" hidden="false" customHeight="true" outlineLevel="0" collapsed="false">
      <c r="A13" s="29" t="s">
        <v>78</v>
      </c>
      <c r="B13" s="30" t="s">
        <v>79</v>
      </c>
      <c r="C13" s="31" t="s">
        <v>80</v>
      </c>
      <c r="D13" s="31" t="s">
        <v>80</v>
      </c>
      <c r="E13" s="31" t="s">
        <v>81</v>
      </c>
      <c r="F13" s="31" t="s">
        <v>82</v>
      </c>
    </row>
    <row r="14" customFormat="false" ht="25.5" hidden="false" customHeight="true" outlineLevel="0" collapsed="false">
      <c r="A14" s="29" t="s">
        <v>83</v>
      </c>
      <c r="B14" s="30" t="s">
        <v>84</v>
      </c>
      <c r="C14" s="31" t="s">
        <v>80</v>
      </c>
      <c r="D14" s="31" t="s">
        <v>80</v>
      </c>
      <c r="E14" s="31" t="s">
        <v>85</v>
      </c>
      <c r="F14" s="31" t="s">
        <v>80</v>
      </c>
    </row>
    <row r="15" customFormat="false" ht="25.5" hidden="false" customHeight="true" outlineLevel="0" collapsed="false">
      <c r="A15" s="29" t="s">
        <v>86</v>
      </c>
      <c r="B15" s="30" t="s">
        <v>87</v>
      </c>
      <c r="C15" s="31" t="s">
        <v>88</v>
      </c>
      <c r="D15" s="31" t="s">
        <v>89</v>
      </c>
      <c r="E15" s="31" t="s">
        <v>90</v>
      </c>
      <c r="F15" s="31" t="s">
        <v>14</v>
      </c>
    </row>
    <row r="16" customFormat="false" ht="25.5" hidden="false" customHeight="true" outlineLevel="0" collapsed="false">
      <c r="A16" s="29" t="s">
        <v>91</v>
      </c>
      <c r="B16" s="30" t="s">
        <v>92</v>
      </c>
      <c r="C16" s="31" t="s">
        <v>93</v>
      </c>
      <c r="D16" s="31" t="s">
        <v>94</v>
      </c>
      <c r="E16" s="31" t="s">
        <v>95</v>
      </c>
      <c r="F16" s="31" t="s">
        <v>96</v>
      </c>
    </row>
    <row r="17" customFormat="false" ht="25.5" hidden="false" customHeight="true" outlineLevel="0" collapsed="false">
      <c r="A17" s="29" t="s">
        <v>97</v>
      </c>
      <c r="B17" s="30" t="s">
        <v>84</v>
      </c>
      <c r="C17" s="31" t="s">
        <v>80</v>
      </c>
      <c r="D17" s="31" t="s">
        <v>80</v>
      </c>
      <c r="E17" s="31" t="s">
        <v>98</v>
      </c>
      <c r="F17" s="31" t="s">
        <v>84</v>
      </c>
    </row>
    <row r="18" customFormat="false" ht="25.5" hidden="false" customHeight="true" outlineLevel="0" collapsed="false">
      <c r="A18" s="29" t="s">
        <v>99</v>
      </c>
      <c r="B18" s="30" t="s">
        <v>100</v>
      </c>
      <c r="C18" s="31" t="s">
        <v>101</v>
      </c>
      <c r="D18" s="31" t="s">
        <v>102</v>
      </c>
      <c r="E18" s="31" t="s">
        <v>103</v>
      </c>
      <c r="F18" s="31" t="s">
        <v>104</v>
      </c>
    </row>
    <row r="19" customFormat="false" ht="25.5" hidden="false" customHeight="true" outlineLevel="0" collapsed="false">
      <c r="A19" s="29" t="s">
        <v>105</v>
      </c>
      <c r="B19" s="30" t="s">
        <v>106</v>
      </c>
      <c r="C19" s="31" t="s">
        <v>107</v>
      </c>
      <c r="D19" s="31" t="s">
        <v>108</v>
      </c>
      <c r="E19" s="31" t="s">
        <v>109</v>
      </c>
      <c r="F19" s="31" t="s">
        <v>110</v>
      </c>
    </row>
    <row r="20" customFormat="false" ht="15" hidden="false" customHeight="true" outlineLevel="0" collapsed="false"/>
    <row r="21" customFormat="false" ht="15.75" hidden="false" customHeight="true" outlineLevel="0" collapsed="false">
      <c r="A21" s="26" t="s">
        <v>111</v>
      </c>
      <c r="B21" s="26"/>
      <c r="C21" s="26"/>
      <c r="D21" s="26"/>
      <c r="E21" s="26"/>
      <c r="F21" s="26"/>
    </row>
    <row r="22" customFormat="false" ht="15" hidden="false" customHeight="true" outlineLevel="0" collapsed="false">
      <c r="A22" s="32" t="s">
        <v>112</v>
      </c>
      <c r="B22" s="32" t="s">
        <v>58</v>
      </c>
      <c r="C22" s="32"/>
      <c r="D22" s="32" t="s">
        <v>113</v>
      </c>
      <c r="E22" s="32" t="s">
        <v>114</v>
      </c>
      <c r="F22" s="32"/>
    </row>
    <row r="23" customFormat="false" ht="27.75" hidden="false" customHeight="true" outlineLevel="0" collapsed="false">
      <c r="A23" s="29" t="s">
        <v>115</v>
      </c>
      <c r="B23" s="31" t="s">
        <v>116</v>
      </c>
      <c r="C23" s="31"/>
      <c r="D23" s="31" t="s">
        <v>117</v>
      </c>
      <c r="E23" s="33" t="s">
        <v>118</v>
      </c>
      <c r="F23" s="33"/>
    </row>
    <row r="24" customFormat="false" ht="27.75" hidden="false" customHeight="true" outlineLevel="0" collapsed="false">
      <c r="A24" s="29" t="s">
        <v>119</v>
      </c>
      <c r="B24" s="31" t="s">
        <v>120</v>
      </c>
      <c r="C24" s="31"/>
      <c r="D24" s="31" t="s">
        <v>121</v>
      </c>
      <c r="E24" s="33" t="s">
        <v>122</v>
      </c>
      <c r="F24" s="33"/>
    </row>
    <row r="25" customFormat="false" ht="27.75" hidden="false" customHeight="true" outlineLevel="0" collapsed="false">
      <c r="A25" s="29" t="s">
        <v>123</v>
      </c>
      <c r="B25" s="31" t="s">
        <v>124</v>
      </c>
      <c r="C25" s="31"/>
      <c r="D25" s="31" t="s">
        <v>125</v>
      </c>
      <c r="E25" s="33" t="s">
        <v>126</v>
      </c>
      <c r="F25" s="33"/>
    </row>
    <row r="26" customFormat="false" ht="27.75" hidden="false" customHeight="true" outlineLevel="0" collapsed="false">
      <c r="A26" s="29" t="s">
        <v>127</v>
      </c>
      <c r="B26" s="31" t="s">
        <v>128</v>
      </c>
      <c r="C26" s="31"/>
      <c r="D26" s="31" t="s">
        <v>129</v>
      </c>
      <c r="E26" s="33" t="s">
        <v>130</v>
      </c>
      <c r="F26" s="33"/>
    </row>
    <row r="27" customFormat="false" ht="27.75" hidden="false" customHeight="true" outlineLevel="0" collapsed="false">
      <c r="A27" s="29" t="s">
        <v>131</v>
      </c>
      <c r="B27" s="31" t="s">
        <v>132</v>
      </c>
      <c r="C27" s="31"/>
      <c r="D27" s="31" t="s">
        <v>133</v>
      </c>
      <c r="E27" s="33" t="s">
        <v>134</v>
      </c>
      <c r="F27" s="33"/>
    </row>
    <row r="28" customFormat="false" ht="27.75" hidden="false" customHeight="true" outlineLevel="0" collapsed="false">
      <c r="A28" s="29" t="s">
        <v>135</v>
      </c>
      <c r="B28" s="31" t="s">
        <v>136</v>
      </c>
      <c r="C28" s="31"/>
      <c r="D28" s="31" t="s">
        <v>137</v>
      </c>
      <c r="E28" s="33" t="s">
        <v>138</v>
      </c>
      <c r="F28" s="33"/>
    </row>
    <row r="29" customFormat="false" ht="27.75" hidden="false" customHeight="true" outlineLevel="0" collapsed="false">
      <c r="A29" s="29" t="s">
        <v>139</v>
      </c>
      <c r="B29" s="31" t="s">
        <v>140</v>
      </c>
      <c r="C29" s="31"/>
      <c r="D29" s="31" t="s">
        <v>80</v>
      </c>
      <c r="E29" s="33" t="s">
        <v>141</v>
      </c>
      <c r="F29" s="33"/>
    </row>
    <row r="30" customFormat="false" ht="27.75" hidden="false" customHeight="true" outlineLevel="0" collapsed="false">
      <c r="A30" s="29" t="s">
        <v>142</v>
      </c>
      <c r="B30" s="31" t="s">
        <v>143</v>
      </c>
      <c r="C30" s="31"/>
      <c r="D30" s="31" t="s">
        <v>144</v>
      </c>
      <c r="E30" s="33" t="s">
        <v>145</v>
      </c>
      <c r="F30" s="33"/>
    </row>
    <row r="31" customFormat="false" ht="15" hidden="false" customHeight="true" outlineLevel="0" collapsed="false"/>
    <row r="32" customFormat="false" ht="15.75" hidden="false" customHeight="true" outlineLevel="0" collapsed="false">
      <c r="A32" s="26" t="s">
        <v>146</v>
      </c>
      <c r="B32" s="26"/>
      <c r="C32" s="26"/>
      <c r="D32" s="26"/>
      <c r="E32" s="26"/>
      <c r="F32" s="26"/>
    </row>
    <row r="33" customFormat="false" ht="30" hidden="false" customHeight="true" outlineLevel="0" collapsed="false">
      <c r="A33" s="27" t="s">
        <v>147</v>
      </c>
      <c r="B33" s="27"/>
      <c r="C33" s="27"/>
      <c r="D33" s="27"/>
      <c r="E33" s="27"/>
      <c r="F33" s="27"/>
    </row>
    <row r="34" customFormat="false" ht="15" hidden="false" customHeight="true" outlineLevel="0" collapsed="false">
      <c r="A34" s="27"/>
      <c r="B34" s="27"/>
      <c r="C34" s="27"/>
      <c r="D34" s="27"/>
      <c r="E34" s="27"/>
      <c r="F34" s="27"/>
    </row>
    <row r="35" customFormat="false" ht="30" hidden="false" customHeight="true" outlineLevel="0" collapsed="false">
      <c r="A35" s="27" t="s">
        <v>148</v>
      </c>
      <c r="B35" s="27"/>
      <c r="C35" s="27"/>
      <c r="D35" s="27"/>
      <c r="E35" s="27"/>
      <c r="F35" s="27"/>
    </row>
    <row r="36" customFormat="false" ht="15" hidden="false" customHeight="true" outlineLevel="0" collapsed="false">
      <c r="A36" s="27"/>
      <c r="B36" s="27"/>
      <c r="C36" s="27"/>
      <c r="D36" s="27"/>
      <c r="E36" s="27"/>
      <c r="F36" s="27"/>
    </row>
    <row r="37" customFormat="false" ht="30" hidden="false" customHeight="true" outlineLevel="0" collapsed="false">
      <c r="A37" s="27" t="s">
        <v>149</v>
      </c>
      <c r="B37" s="27"/>
      <c r="C37" s="27"/>
      <c r="D37" s="27"/>
      <c r="E37" s="27"/>
      <c r="F37" s="27"/>
    </row>
    <row r="38" customFormat="false" ht="15" hidden="false" customHeight="true" outlineLevel="0" collapsed="false">
      <c r="A38" s="27"/>
      <c r="B38" s="27"/>
      <c r="C38" s="27"/>
      <c r="D38" s="27"/>
      <c r="E38" s="27"/>
      <c r="F38" s="27"/>
    </row>
    <row r="39" customFormat="false" ht="30" hidden="false" customHeight="true" outlineLevel="0" collapsed="false">
      <c r="A39" s="27" t="s">
        <v>150</v>
      </c>
      <c r="B39" s="27"/>
      <c r="C39" s="27"/>
      <c r="D39" s="27"/>
      <c r="E39" s="27"/>
      <c r="F39" s="27"/>
    </row>
    <row r="40" customFormat="false" ht="15" hidden="false" customHeight="true" outlineLevel="0" collapsed="false">
      <c r="A40" s="27"/>
      <c r="B40" s="27"/>
      <c r="C40" s="27"/>
      <c r="D40" s="27"/>
      <c r="E40" s="27"/>
      <c r="F40" s="27"/>
    </row>
    <row r="41" customFormat="false" ht="30" hidden="false" customHeight="true" outlineLevel="0" collapsed="false">
      <c r="A41" s="27" t="s">
        <v>151</v>
      </c>
      <c r="B41" s="27"/>
      <c r="C41" s="27"/>
      <c r="D41" s="27"/>
      <c r="E41" s="27"/>
      <c r="F41" s="27"/>
    </row>
    <row r="42" customFormat="false" ht="15" hidden="false" customHeight="true" outlineLevel="0" collapsed="false">
      <c r="A42" s="27"/>
      <c r="B42" s="27"/>
      <c r="C42" s="27"/>
      <c r="D42" s="27"/>
      <c r="E42" s="27"/>
      <c r="F42" s="27"/>
    </row>
    <row r="43" customFormat="false" ht="15.75" hidden="false" customHeight="true" outlineLevel="0" collapsed="false">
      <c r="A43" s="26" t="s">
        <v>152</v>
      </c>
      <c r="B43" s="26"/>
      <c r="C43" s="26"/>
      <c r="D43" s="26"/>
      <c r="E43" s="26"/>
      <c r="F43" s="26"/>
    </row>
    <row r="44" customFormat="false" ht="30" hidden="false" customHeight="true" outlineLevel="0" collapsed="false">
      <c r="A44" s="34" t="s">
        <v>153</v>
      </c>
      <c r="B44" s="34"/>
      <c r="C44" s="34"/>
      <c r="D44" s="34"/>
      <c r="E44" s="34"/>
      <c r="F44" s="34"/>
    </row>
    <row r="45" customFormat="false" ht="15" hidden="false" customHeight="true" outlineLevel="0" collapsed="false">
      <c r="A45" s="34"/>
      <c r="B45" s="34"/>
      <c r="C45" s="34"/>
      <c r="D45" s="34"/>
      <c r="E45" s="34"/>
      <c r="F45" s="34"/>
    </row>
  </sheetData>
  <mergeCells count="32">
    <mergeCell ref="A1:F1"/>
    <mergeCell ref="A2:F2"/>
    <mergeCell ref="A4:F4"/>
    <mergeCell ref="A5:F7"/>
    <mergeCell ref="A8:F8"/>
    <mergeCell ref="A21:F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2:F32"/>
    <mergeCell ref="A33:F34"/>
    <mergeCell ref="A35:F36"/>
    <mergeCell ref="A37:F38"/>
    <mergeCell ref="A39:F40"/>
    <mergeCell ref="A41:F42"/>
    <mergeCell ref="A43:F43"/>
    <mergeCell ref="A44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7"/>
    <col collapsed="false" customWidth="true" hidden="false" outlineLevel="0" max="6" min="3" style="1" width="17"/>
    <col collapsed="false" customWidth="true" hidden="false" outlineLevel="0" max="7" min="7" style="1" width="2.5"/>
  </cols>
  <sheetData>
    <row r="1" customFormat="false" ht="33.75" hidden="false" customHeight="true" outlineLevel="0" collapsed="false">
      <c r="A1" s="2"/>
      <c r="B1" s="3" t="s">
        <v>154</v>
      </c>
      <c r="C1" s="3"/>
      <c r="D1" s="3"/>
      <c r="E1" s="3"/>
      <c r="F1" s="3"/>
      <c r="G1" s="2"/>
    </row>
    <row r="2" customFormat="false" ht="18" hidden="false" customHeight="true" outlineLevel="0" collapsed="false">
      <c r="A2" s="2"/>
      <c r="B2" s="4" t="s">
        <v>155</v>
      </c>
      <c r="C2" s="4"/>
      <c r="D2" s="4"/>
      <c r="E2" s="4"/>
      <c r="F2" s="4"/>
      <c r="G2" s="2"/>
    </row>
    <row r="3" customFormat="false" ht="6.75" hidden="false" customHeight="true" outlineLevel="0" collapsed="false">
      <c r="A3" s="2"/>
      <c r="G3" s="2"/>
    </row>
    <row r="4" customFormat="false" ht="19.5" hidden="false" customHeight="true" outlineLevel="0" collapsed="false">
      <c r="A4" s="2"/>
      <c r="B4" s="5" t="s">
        <v>156</v>
      </c>
      <c r="C4" s="5"/>
      <c r="D4" s="5"/>
      <c r="E4" s="5"/>
      <c r="F4" s="5"/>
      <c r="G4" s="2"/>
    </row>
    <row r="5" customFormat="false" ht="39" hidden="false" customHeight="true" outlineLevel="0" collapsed="false">
      <c r="A5" s="2"/>
      <c r="B5" s="6" t="s">
        <v>157</v>
      </c>
      <c r="C5" s="6"/>
      <c r="D5" s="6"/>
      <c r="E5" s="6"/>
      <c r="F5" s="6"/>
      <c r="G5" s="2"/>
    </row>
    <row r="6" customFormat="false" ht="6.75" hidden="false" customHeight="true" outlineLevel="0" collapsed="false">
      <c r="A6" s="2"/>
      <c r="G6" s="2"/>
    </row>
    <row r="7" customFormat="false" ht="19.5" hidden="false" customHeight="true" outlineLevel="0" collapsed="false">
      <c r="A7" s="2"/>
      <c r="B7" s="5" t="s">
        <v>158</v>
      </c>
      <c r="C7" s="5"/>
      <c r="D7" s="5"/>
      <c r="E7" s="5"/>
      <c r="F7" s="5"/>
      <c r="G7" s="2"/>
    </row>
    <row r="8" customFormat="false" ht="18" hidden="false" customHeight="true" outlineLevel="0" collapsed="false">
      <c r="A8" s="2"/>
      <c r="B8" s="35" t="s">
        <v>159</v>
      </c>
      <c r="C8" s="36" t="s">
        <v>31</v>
      </c>
      <c r="D8" s="36"/>
      <c r="E8" s="36" t="s">
        <v>160</v>
      </c>
      <c r="F8" s="36"/>
      <c r="G8" s="2"/>
    </row>
    <row r="9" customFormat="false" ht="15.75" hidden="false" customHeight="true" outlineLevel="0" collapsed="false">
      <c r="A9" s="2"/>
      <c r="B9" s="37" t="s">
        <v>161</v>
      </c>
      <c r="C9" s="38" t="s">
        <v>162</v>
      </c>
      <c r="D9" s="38"/>
      <c r="E9" s="39" t="s">
        <v>163</v>
      </c>
      <c r="F9" s="39"/>
      <c r="G9" s="2"/>
    </row>
    <row r="10" customFormat="false" ht="15.75" hidden="false" customHeight="true" outlineLevel="0" collapsed="false">
      <c r="A10" s="2"/>
      <c r="B10" s="40" t="s">
        <v>164</v>
      </c>
      <c r="C10" s="41" t="s">
        <v>165</v>
      </c>
      <c r="D10" s="41"/>
      <c r="E10" s="42" t="s">
        <v>166</v>
      </c>
      <c r="F10" s="42"/>
      <c r="G10" s="2"/>
    </row>
    <row r="11" customFormat="false" ht="15.75" hidden="false" customHeight="true" outlineLevel="0" collapsed="false">
      <c r="A11" s="2"/>
      <c r="B11" s="37" t="s">
        <v>167</v>
      </c>
      <c r="C11" s="38" t="s">
        <v>168</v>
      </c>
      <c r="D11" s="38"/>
      <c r="E11" s="39" t="s">
        <v>163</v>
      </c>
      <c r="F11" s="39"/>
      <c r="G11" s="2"/>
    </row>
    <row r="12" customFormat="false" ht="15.75" hidden="false" customHeight="true" outlineLevel="0" collapsed="false">
      <c r="A12" s="2"/>
      <c r="B12" s="40" t="s">
        <v>169</v>
      </c>
      <c r="C12" s="41" t="s">
        <v>170</v>
      </c>
      <c r="D12" s="41"/>
      <c r="E12" s="42" t="s">
        <v>171</v>
      </c>
      <c r="F12" s="42"/>
      <c r="G12" s="2"/>
    </row>
    <row r="13" customFormat="false" ht="15.75" hidden="false" customHeight="true" outlineLevel="0" collapsed="false">
      <c r="A13" s="2"/>
      <c r="B13" s="37" t="s">
        <v>172</v>
      </c>
      <c r="C13" s="38" t="s">
        <v>173</v>
      </c>
      <c r="D13" s="38"/>
      <c r="E13" s="39" t="s">
        <v>166</v>
      </c>
      <c r="F13" s="39"/>
      <c r="G13" s="2"/>
    </row>
    <row r="14" customFormat="false" ht="15.75" hidden="false" customHeight="true" outlineLevel="0" collapsed="false">
      <c r="A14" s="2"/>
      <c r="B14" s="40" t="s">
        <v>174</v>
      </c>
      <c r="C14" s="41" t="s">
        <v>175</v>
      </c>
      <c r="D14" s="41"/>
      <c r="E14" s="42" t="s">
        <v>163</v>
      </c>
      <c r="F14" s="42"/>
      <c r="G14" s="2"/>
    </row>
    <row r="15" customFormat="false" ht="6.75" hidden="false" customHeight="true" outlineLevel="0" collapsed="false">
      <c r="A15" s="2"/>
      <c r="G15" s="2"/>
    </row>
    <row r="16" customFormat="false" ht="19.5" hidden="false" customHeight="true" outlineLevel="0" collapsed="false">
      <c r="A16" s="2"/>
      <c r="B16" s="5" t="s">
        <v>176</v>
      </c>
      <c r="C16" s="5"/>
      <c r="D16" s="5"/>
      <c r="E16" s="5"/>
      <c r="F16" s="5"/>
      <c r="G16" s="2"/>
    </row>
    <row r="17" customFormat="false" ht="39" hidden="false" customHeight="true" outlineLevel="0" collapsed="false">
      <c r="A17" s="2"/>
      <c r="B17" s="6" t="s">
        <v>177</v>
      </c>
      <c r="C17" s="6"/>
      <c r="D17" s="6"/>
      <c r="E17" s="6"/>
      <c r="F17" s="6"/>
      <c r="G17" s="2"/>
    </row>
    <row r="18" customFormat="false" ht="6.75" hidden="false" customHeight="true" outlineLevel="0" collapsed="false">
      <c r="A18" s="2"/>
      <c r="G18" s="2"/>
    </row>
    <row r="19" customFormat="false" ht="19.5" hidden="false" customHeight="true" outlineLevel="0" collapsed="false">
      <c r="A19" s="2"/>
      <c r="B19" s="5" t="s">
        <v>178</v>
      </c>
      <c r="C19" s="5"/>
      <c r="D19" s="5"/>
      <c r="E19" s="5"/>
      <c r="F19" s="5"/>
      <c r="G19" s="2"/>
    </row>
    <row r="20" customFormat="false" ht="15.75" hidden="false" customHeight="true" outlineLevel="0" collapsed="false">
      <c r="A20" s="2"/>
      <c r="B20" s="6" t="s">
        <v>179</v>
      </c>
      <c r="C20" s="6"/>
      <c r="D20" s="6"/>
      <c r="E20" s="6"/>
      <c r="F20" s="6"/>
      <c r="G20" s="2"/>
    </row>
    <row r="21" customFormat="false" ht="15.75" hidden="false" customHeight="true" outlineLevel="0" collapsed="false">
      <c r="A21" s="2"/>
      <c r="B21" s="21" t="s">
        <v>180</v>
      </c>
      <c r="C21" s="21"/>
      <c r="D21" s="21"/>
      <c r="E21" s="21"/>
      <c r="F21" s="21"/>
      <c r="G21" s="2"/>
    </row>
    <row r="22" customFormat="false" ht="15.75" hidden="false" customHeight="true" outlineLevel="0" collapsed="false">
      <c r="A22" s="2"/>
      <c r="B22" s="6" t="s">
        <v>181</v>
      </c>
      <c r="C22" s="6"/>
      <c r="D22" s="6"/>
      <c r="E22" s="6"/>
      <c r="F22" s="6"/>
      <c r="G22" s="2"/>
    </row>
    <row r="23" customFormat="false" ht="6.75" hidden="false" customHeight="true" outlineLevel="0" collapsed="false">
      <c r="A23" s="2"/>
      <c r="G23" s="2"/>
    </row>
    <row r="24" customFormat="false" ht="19.5" hidden="false" customHeight="true" outlineLevel="0" collapsed="false">
      <c r="A24" s="2"/>
      <c r="B24" s="5" t="s">
        <v>182</v>
      </c>
      <c r="C24" s="5"/>
      <c r="D24" s="5"/>
      <c r="E24" s="5"/>
      <c r="F24" s="5"/>
      <c r="G24" s="2"/>
    </row>
    <row r="25" customFormat="false" ht="54" hidden="false" customHeight="true" outlineLevel="0" collapsed="false">
      <c r="A25" s="2"/>
      <c r="B25" s="6" t="s">
        <v>183</v>
      </c>
      <c r="C25" s="6"/>
      <c r="D25" s="6"/>
      <c r="E25" s="6"/>
      <c r="F25" s="6"/>
      <c r="G25" s="2"/>
    </row>
    <row r="26" customFormat="false" ht="6.75" hidden="false" customHeight="true" outlineLevel="0" collapsed="false">
      <c r="A26" s="2"/>
      <c r="G26" s="2"/>
    </row>
    <row r="27" customFormat="false" ht="19.5" hidden="false" customHeight="true" outlineLevel="0" collapsed="false">
      <c r="A27" s="2"/>
      <c r="B27" s="5" t="s">
        <v>184</v>
      </c>
      <c r="C27" s="5"/>
      <c r="D27" s="5"/>
      <c r="E27" s="5"/>
      <c r="F27" s="5"/>
      <c r="G27" s="2"/>
    </row>
    <row r="28" customFormat="false" ht="39" hidden="false" customHeight="true" outlineLevel="0" collapsed="false">
      <c r="A28" s="2"/>
      <c r="B28" s="6" t="s">
        <v>185</v>
      </c>
      <c r="C28" s="6"/>
      <c r="D28" s="6"/>
      <c r="E28" s="6"/>
      <c r="F28" s="6"/>
      <c r="G28" s="2"/>
    </row>
    <row r="29" customFormat="false" ht="6.75" hidden="false" customHeight="true" outlineLevel="0" collapsed="false">
      <c r="A29" s="2"/>
      <c r="G29" s="2"/>
    </row>
    <row r="30" customFormat="false" ht="19.5" hidden="false" customHeight="true" outlineLevel="0" collapsed="false">
      <c r="A30" s="2"/>
      <c r="B30" s="5" t="s">
        <v>186</v>
      </c>
      <c r="C30" s="5"/>
      <c r="D30" s="5"/>
      <c r="E30" s="5"/>
      <c r="F30" s="5"/>
      <c r="G30" s="2"/>
    </row>
    <row r="31" customFormat="false" ht="39" hidden="false" customHeight="true" outlineLevel="0" collapsed="false">
      <c r="A31" s="2"/>
      <c r="B31" s="6" t="s">
        <v>187</v>
      </c>
      <c r="C31" s="6"/>
      <c r="D31" s="6"/>
      <c r="E31" s="6"/>
      <c r="F31" s="6"/>
      <c r="G31" s="2"/>
    </row>
    <row r="32" customFormat="false" ht="6.75" hidden="false" customHeight="true" outlineLevel="0" collapsed="false">
      <c r="A32" s="2"/>
      <c r="G32" s="2"/>
    </row>
    <row r="33" customFormat="false" ht="19.5" hidden="false" customHeight="true" outlineLevel="0" collapsed="false">
      <c r="A33" s="2"/>
      <c r="B33" s="5" t="s">
        <v>188</v>
      </c>
      <c r="C33" s="5"/>
      <c r="D33" s="5"/>
      <c r="E33" s="5"/>
      <c r="F33" s="5"/>
      <c r="G33" s="2"/>
    </row>
    <row r="34" customFormat="false" ht="39" hidden="false" customHeight="true" outlineLevel="0" collapsed="false">
      <c r="A34" s="2"/>
      <c r="B34" s="22" t="s">
        <v>189</v>
      </c>
      <c r="C34" s="22"/>
      <c r="D34" s="22"/>
      <c r="E34" s="22"/>
      <c r="F34" s="22"/>
      <c r="G34" s="2"/>
    </row>
    <row r="35" customFormat="false" ht="15" hidden="false" customHeight="true" outlineLevel="0" collapsed="false">
      <c r="A35" s="2"/>
      <c r="G35" s="2"/>
    </row>
  </sheetData>
  <mergeCells count="33">
    <mergeCell ref="B1:F1"/>
    <mergeCell ref="B2:F2"/>
    <mergeCell ref="B4:F4"/>
    <mergeCell ref="B5:F5"/>
    <mergeCell ref="B7:F7"/>
    <mergeCell ref="C8:D8"/>
    <mergeCell ref="E8:F8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B16:F16"/>
    <mergeCell ref="B17:F17"/>
    <mergeCell ref="B19:F19"/>
    <mergeCell ref="B20:F20"/>
    <mergeCell ref="B21:F21"/>
    <mergeCell ref="B22:F22"/>
    <mergeCell ref="B24:F24"/>
    <mergeCell ref="B25:F25"/>
    <mergeCell ref="B27:F27"/>
    <mergeCell ref="B28:F28"/>
    <mergeCell ref="B30:F30"/>
    <mergeCell ref="B31:F31"/>
    <mergeCell ref="B33:F33"/>
    <mergeCell ref="B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</cols>
  <sheetData>
    <row r="1" customFormat="false" ht="24" hidden="false" customHeight="true" outlineLevel="0" collapsed="false">
      <c r="A1" s="43" t="s">
        <v>190</v>
      </c>
      <c r="B1" s="43"/>
      <c r="C1" s="43"/>
      <c r="D1" s="43"/>
      <c r="E1" s="43"/>
      <c r="F1" s="43"/>
    </row>
    <row r="2" customFormat="false" ht="15" hidden="false" customHeight="true" outlineLevel="0" collapsed="false">
      <c r="A2" s="44"/>
      <c r="B2" s="44"/>
      <c r="C2" s="44"/>
      <c r="D2" s="44"/>
      <c r="E2" s="44"/>
      <c r="F2" s="44"/>
    </row>
    <row r="3" customFormat="false" ht="15" hidden="false" customHeight="true" outlineLevel="0" collapsed="false">
      <c r="A3" s="45" t="s">
        <v>191</v>
      </c>
      <c r="B3" s="45" t="s">
        <v>31</v>
      </c>
      <c r="C3" s="45" t="s">
        <v>192</v>
      </c>
      <c r="D3" s="45" t="s">
        <v>193</v>
      </c>
      <c r="E3" s="45" t="s">
        <v>194</v>
      </c>
      <c r="F3" s="45" t="s">
        <v>195</v>
      </c>
    </row>
    <row r="4" customFormat="false" ht="15" hidden="false" customHeight="true" outlineLevel="0" collapsed="false">
      <c r="A4" s="46" t="s">
        <v>196</v>
      </c>
      <c r="B4" s="47" t="n">
        <v>15</v>
      </c>
      <c r="C4" s="48" t="s">
        <v>197</v>
      </c>
      <c r="D4" s="49"/>
      <c r="E4" s="50" t="str">
        <f aca="false">IF(D4="","—",IF(D4&gt;=B4,"✅","⚠"))</f>
        <v>—</v>
      </c>
      <c r="F4" s="51" t="s">
        <v>198</v>
      </c>
    </row>
    <row r="5" customFormat="false" ht="15" hidden="false" customHeight="true" outlineLevel="0" collapsed="false">
      <c r="A5" s="46" t="s">
        <v>199</v>
      </c>
      <c r="B5" s="52"/>
      <c r="C5" s="48"/>
      <c r="D5" s="49"/>
      <c r="E5" s="50" t="s">
        <v>14</v>
      </c>
      <c r="F5" s="51" t="s">
        <v>200</v>
      </c>
    </row>
    <row r="6" customFormat="false" ht="15" hidden="false" customHeight="true" outlineLevel="0" collapsed="false">
      <c r="A6" s="46" t="s">
        <v>201</v>
      </c>
      <c r="B6" s="52"/>
      <c r="C6" s="48"/>
      <c r="D6" s="49"/>
      <c r="E6" s="50" t="s">
        <v>14</v>
      </c>
      <c r="F6" s="51" t="s">
        <v>202</v>
      </c>
    </row>
    <row r="7" customFormat="false" ht="15" hidden="false" customHeight="true" outlineLevel="0" collapsed="false">
      <c r="A7" s="46" t="s">
        <v>203</v>
      </c>
      <c r="B7" s="53" t="n">
        <v>0.4</v>
      </c>
      <c r="C7" s="48" t="s">
        <v>197</v>
      </c>
      <c r="D7" s="54"/>
      <c r="E7" s="50" t="str">
        <f aca="false">IF(D7="","—",IF(D7&gt;=B7,"✅","⚠"))</f>
        <v>—</v>
      </c>
      <c r="F7" s="51" t="s">
        <v>204</v>
      </c>
    </row>
    <row r="8" customFormat="false" ht="15" hidden="false" customHeight="true" outlineLevel="0" collapsed="false">
      <c r="A8" s="46" t="s">
        <v>205</v>
      </c>
      <c r="B8" s="53" t="n">
        <v>0.3</v>
      </c>
      <c r="C8" s="48" t="s">
        <v>197</v>
      </c>
      <c r="D8" s="54"/>
      <c r="E8" s="50" t="str">
        <f aca="false">IF(D8="","—",IF(D8&gt;=B8,"✅","⚠"))</f>
        <v>—</v>
      </c>
      <c r="F8" s="51" t="s">
        <v>206</v>
      </c>
    </row>
    <row r="9" customFormat="false" ht="15" hidden="false" customHeight="true" outlineLevel="0" collapsed="false">
      <c r="A9" s="46" t="s">
        <v>207</v>
      </c>
      <c r="B9" s="55" t="n">
        <v>400</v>
      </c>
      <c r="C9" s="48" t="s">
        <v>208</v>
      </c>
      <c r="D9" s="56"/>
      <c r="E9" s="50" t="str">
        <f aca="false">IF(D9="","—",IF(D9&lt;=B9,"✅","⚠"))</f>
        <v>—</v>
      </c>
      <c r="F9" s="51" t="s">
        <v>209</v>
      </c>
    </row>
    <row r="10" customFormat="false" ht="15" hidden="false" customHeight="true" outlineLevel="0" collapsed="false">
      <c r="A10" s="46" t="s">
        <v>210</v>
      </c>
      <c r="B10" s="55" t="n">
        <v>10500</v>
      </c>
      <c r="C10" s="48" t="s">
        <v>208</v>
      </c>
      <c r="D10" s="56"/>
      <c r="E10" s="50" t="str">
        <f aca="false">IF(D10="","—",IF(D10&lt;=B10,"✅","⚠"))</f>
        <v>—</v>
      </c>
      <c r="F10" s="51" t="s">
        <v>211</v>
      </c>
    </row>
    <row r="11" customFormat="false" ht="15" hidden="false" customHeight="true" outlineLevel="0" collapsed="false">
      <c r="A11" s="46" t="s">
        <v>212</v>
      </c>
      <c r="B11" s="57" t="n">
        <v>3</v>
      </c>
      <c r="C11" s="48" t="s">
        <v>197</v>
      </c>
      <c r="D11" s="58"/>
      <c r="E11" s="50" t="str">
        <f aca="false">IF(D11="","—",IF(D11&gt;=B11,"✅","⚠"))</f>
        <v>—</v>
      </c>
      <c r="F11" s="51" t="s">
        <v>213</v>
      </c>
    </row>
    <row r="12" customFormat="false" ht="15" hidden="false" customHeight="true" outlineLevel="0" collapsed="false">
      <c r="A12" s="46" t="s">
        <v>214</v>
      </c>
      <c r="B12" s="53" t="n">
        <v>0.09</v>
      </c>
      <c r="C12" s="48" t="s">
        <v>208</v>
      </c>
      <c r="D12" s="54"/>
      <c r="E12" s="50" t="str">
        <f aca="false">IF(D12="","—",IF(D12&lt;=B12,"✅","⚠"))</f>
        <v>—</v>
      </c>
      <c r="F12" s="51" t="s">
        <v>215</v>
      </c>
    </row>
    <row r="13" customFormat="false" ht="15" hidden="false" customHeight="true" outlineLevel="0" collapsed="false">
      <c r="A13" s="46" t="s">
        <v>216</v>
      </c>
      <c r="B13" s="53" t="n">
        <v>0.05</v>
      </c>
      <c r="C13" s="48" t="s">
        <v>208</v>
      </c>
      <c r="D13" s="54"/>
      <c r="E13" s="50" t="str">
        <f aca="false">IF(D13="","—",IF(D13&lt;=B13,"✅","⚠"))</f>
        <v>—</v>
      </c>
      <c r="F13" s="51" t="s">
        <v>217</v>
      </c>
    </row>
    <row r="14" customFormat="false" ht="15" hidden="false" customHeight="true" outlineLevel="0" collapsed="false">
      <c r="A14" s="46" t="s">
        <v>218</v>
      </c>
      <c r="B14" s="47" t="n">
        <v>1</v>
      </c>
      <c r="C14" s="48" t="s">
        <v>197</v>
      </c>
      <c r="D14" s="49"/>
      <c r="E14" s="50" t="str">
        <f aca="false">IF(D14="","—",IF(D14&gt;=B14,"✅","⚠"))</f>
        <v>—</v>
      </c>
      <c r="F14" s="51" t="s">
        <v>219</v>
      </c>
    </row>
    <row r="15" customFormat="false" ht="15" hidden="false" customHeight="true" outlineLevel="0" collapsed="false">
      <c r="A15" s="46" t="s">
        <v>220</v>
      </c>
      <c r="B15" s="52"/>
      <c r="C15" s="48"/>
      <c r="D15" s="56"/>
      <c r="E15" s="50" t="s">
        <v>14</v>
      </c>
      <c r="F15" s="51" t="s">
        <v>221</v>
      </c>
    </row>
    <row r="16" customFormat="false" ht="15" hidden="false" customHeight="true" outlineLevel="0" collapsed="false">
      <c r="A16" s="44"/>
      <c r="B16" s="44"/>
      <c r="C16" s="44"/>
      <c r="D16" s="44"/>
      <c r="E16" s="44"/>
      <c r="F16" s="44"/>
    </row>
    <row r="17" customFormat="false" ht="15" hidden="false" customHeight="true" outlineLevel="0" collapsed="false">
      <c r="A17" s="25" t="s">
        <v>222</v>
      </c>
      <c r="B17" s="25"/>
      <c r="C17" s="25"/>
      <c r="D17" s="25"/>
      <c r="E17" s="25"/>
      <c r="F17" s="25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2026-06-09T09:55:00Z</dcterms:created>
  <dc:creator>openpyxl</dc:creator>
  <dc:description/>
  <dc:language>en-US</dc:language>
  <cp:lastModifiedBy/>
  <dcterms:modified xsi:type="dcterms:W3CDTF">2026-06-10T14:08:23Z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