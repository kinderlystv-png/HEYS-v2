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пущения" sheetId="1" state="visible" r:id="rId3"/>
    <sheet name="Unit-экономика" sheetId="2" state="visible" r:id="rId4"/>
    <sheet name="CAC-LTV" sheetId="3" state="visible" r:id="rId5"/>
    <sheet name="Реальность-чек" sheetId="4" state="visible" r:id="rId6"/>
    <sheet name="AI-тариф-Solo" sheetId="5" state="visible" r:id="rId7"/>
    <sheet name="Кураторы-эконом" sheetId="6" state="visible" r:id="rId8"/>
    <sheet name="Фазы-цена" sheetId="7" state="visible" r:id="rId9"/>
    <sheet name="Бюджет-каналы" sheetId="8" state="visible" r:id="rId10"/>
    <sheet name="Прогноз-12мес" sheetId="9" state="visible" r:id="rId11"/>
    <sheet name="Сценарии" sheetId="10" state="visible" r:id="rId12"/>
    <sheet name="Чувствительность" sheetId="11" state="visible" r:id="rId13"/>
    <sheet name="Когорты" sheetId="12" state="visible" r:id="rId14"/>
    <sheet name="Break-eve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<sst xmlns="http://schemas.openxmlformats.org/spreadsheetml/2006/main" count="286" uniqueCount="221">
  <si>
    <t xml:space="preserve">HEYS — Финмодель · Допущения (лестница Free/Solo/Lite/Pro/Pro+)</t>
  </si>
  <si>
    <t xml:space="preserve">Параметр</t>
  </si>
  <si>
    <t xml:space="preserve">Значение</t>
  </si>
  <si>
    <t xml:space="preserve">Ед.</t>
  </si>
  <si>
    <t xml:space="preserve">Примечание</t>
  </si>
  <si>
    <t xml:space="preserve">ЦЕНЫ, ₽/мес</t>
  </si>
  <si>
    <t xml:space="preserve">Цена — Free</t>
  </si>
  <si>
    <t xml:space="preserve">₽</t>
  </si>
  <si>
    <t xml:space="preserve">Без куратора, лимит AI-сканов</t>
  </si>
  <si>
    <t xml:space="preserve">Цена — Solo</t>
  </si>
  <si>
    <t xml:space="preserve">AI без куратора (конкурент CalZen)</t>
  </si>
  <si>
    <t xml:space="preserve">Цена — Lite</t>
  </si>
  <si>
    <t xml:space="preserve">AI + куратор раз/нед (≈ прежний Base)</t>
  </si>
  <si>
    <t xml:space="preserve">Цена — Pro</t>
  </si>
  <si>
    <t xml:space="preserve">Ежедневный куратор (Ф0; в Ф1 выше)</t>
  </si>
  <si>
    <t xml:space="preserve">Цена — Pro+</t>
  </si>
  <si>
    <t xml:space="preserve">+ тренировки / 7-7</t>
  </si>
  <si>
    <t xml:space="preserve">ДОЛЯ КУРАТОРА, % выручки</t>
  </si>
  <si>
    <t xml:space="preserve">Доля — Free</t>
  </si>
  <si>
    <t xml:space="preserve">%</t>
  </si>
  <si>
    <t xml:space="preserve">Нет куратора</t>
  </si>
  <si>
    <t xml:space="preserve">Доля — Solo</t>
  </si>
  <si>
    <t xml:space="preserve">Доля — Lite</t>
  </si>
  <si>
    <t xml:space="preserve">Лёгкий недельный ревью</t>
  </si>
  <si>
    <t xml:space="preserve">Доля — Pro</t>
  </si>
  <si>
    <t xml:space="preserve">Полное ежедневное ведение</t>
  </si>
  <si>
    <t xml:space="preserve">Доля — Pro+</t>
  </si>
  <si>
    <t xml:space="preserve">Полное + тренировки</t>
  </si>
  <si>
    <t xml:space="preserve">ОТТОК / МЕС</t>
  </si>
  <si>
    <t xml:space="preserve">Отток — Solo</t>
  </si>
  <si>
    <t xml:space="preserve">Self-serve churn выше</t>
  </si>
  <si>
    <t xml:space="preserve">Отток — Lite</t>
  </si>
  <si>
    <t xml:space="preserve">Отток — Pro</t>
  </si>
  <si>
    <t xml:space="preserve">Человек удерживает</t>
  </si>
  <si>
    <t xml:space="preserve">Отток — Pro+</t>
  </si>
  <si>
    <t xml:space="preserve">МИКС ПЛАТЯЩИХ, %</t>
  </si>
  <si>
    <t xml:space="preserve">Микс — Solo</t>
  </si>
  <si>
    <t xml:space="preserve">Доля среди платящих</t>
  </si>
  <si>
    <t xml:space="preserve">Микс — Lite</t>
  </si>
  <si>
    <t xml:space="preserve">Микс — Pro</t>
  </si>
  <si>
    <t xml:space="preserve">Микс — Pro+</t>
  </si>
  <si>
    <t xml:space="preserve">Сумма = 100%</t>
  </si>
  <si>
    <t xml:space="preserve">AI-РАСХОД</t>
  </si>
  <si>
    <t xml:space="preserve">Цена за скан (RF), ₽</t>
  </si>
  <si>
    <t xml:space="preserve">Yandex AI Studio / GigaChat</t>
  </si>
  <si>
    <t xml:space="preserve">Сканов/мес — платные</t>
  </si>
  <si>
    <t xml:space="preserve">шт</t>
  </si>
  <si>
    <t xml:space="preserve">~3-4 приёма/день</t>
  </si>
  <si>
    <t xml:space="preserve">Сканов/мес — Free</t>
  </si>
  <si>
    <t xml:space="preserve">Лимит free</t>
  </si>
  <si>
    <t xml:space="preserve">ЗАТРАТЫ</t>
  </si>
  <si>
    <t xml:space="preserve">Эквайринг</t>
  </si>
  <si>
    <t xml:space="preserve">ЮKassa ~3,5%</t>
  </si>
  <si>
    <t xml:space="preserve">Инфра на клиента, ₽/мес</t>
  </si>
  <si>
    <t xml:space="preserve">Аллокация</t>
  </si>
  <si>
    <t xml:space="preserve">Инфра fixed, ₽/мес</t>
  </si>
  <si>
    <t xml:space="preserve">Yandex Cloud (бриф)</t>
  </si>
  <si>
    <t xml:space="preserve">ВОРОНКА / CAC (бенчмарки)</t>
  </si>
  <si>
    <t xml:space="preserve">Лид → триал/рег.</t>
  </si>
  <si>
    <t xml:space="preserve">Заменить фактом</t>
  </si>
  <si>
    <t xml:space="preserve">Триал → оплата</t>
  </si>
  <si>
    <t xml:space="preserve">CPL, ₽</t>
  </si>
  <si>
    <t xml:space="preserve">Бонус куратора: активный триал</t>
  </si>
  <si>
    <t xml:space="preserve">Бонус куратора: конверсия</t>
  </si>
  <si>
    <t xml:space="preserve">ОПЕРАЦИОНКА / ФАЗА 1</t>
  </si>
  <si>
    <t xml:space="preserve">Загрузка Pro, клиентов/куратор</t>
  </si>
  <si>
    <t xml:space="preserve">Норма (бриф)</t>
  </si>
  <si>
    <t xml:space="preserve">Минималка куратора, ₽/мес</t>
  </si>
  <si>
    <t xml:space="preserve">Старт; лучше % выручки</t>
  </si>
  <si>
    <t xml:space="preserve">Целевая зарплата внешнего куратора, ₽/мес</t>
  </si>
  <si>
    <t xml:space="preserve">Для расчёта цены Ф1</t>
  </si>
  <si>
    <t xml:space="preserve">Целевая маржа компании/клиент, ₽</t>
  </si>
  <si>
    <t xml:space="preserve">ПРОИЗВОДНЫЕ (расчёт)</t>
  </si>
  <si>
    <t xml:space="preserve">Отток блендед (по миксу)</t>
  </si>
  <si>
    <t xml:space="preserve">Срок жизни блендед, мес</t>
  </si>
  <si>
    <t xml:space="preserve">Unit-экономика (на 1 клиента в месяц)</t>
  </si>
  <si>
    <t xml:space="preserve">Метрика</t>
  </si>
  <si>
    <t xml:space="preserve">Free</t>
  </si>
  <si>
    <t xml:space="preserve">Solo</t>
  </si>
  <si>
    <t xml:space="preserve">Lite</t>
  </si>
  <si>
    <t xml:space="preserve">Pro</t>
  </si>
  <si>
    <t xml:space="preserve">Pro+</t>
  </si>
  <si>
    <t xml:space="preserve">Цена, ₽/мес</t>
  </si>
  <si>
    <t xml:space="preserve">− AI-расход, ₽</t>
  </si>
  <si>
    <t xml:space="preserve">− Куратор (доля выручки), ₽</t>
  </si>
  <si>
    <t xml:space="preserve">− Эквайринг, ₽</t>
  </si>
  <si>
    <t xml:space="preserve">− Инфра/клиент, ₽</t>
  </si>
  <si>
    <t xml:space="preserve">Контрибуция, ₽/мес</t>
  </si>
  <si>
    <t xml:space="preserve">Контрибуция-маржа, %</t>
  </si>
  <si>
    <t xml:space="preserve">Отток/мес</t>
  </si>
  <si>
    <t xml:space="preserve">—</t>
  </si>
  <si>
    <t xml:space="preserve">Срок жизни, мес</t>
  </si>
  <si>
    <t xml:space="preserve">LTV, ₽</t>
  </si>
  <si>
    <t xml:space="preserve">Free — без выручки: контрибуция отрицательна = стоимость бесплатного пользователя (расход на привлечение). LTV считается только для платящих.</t>
  </si>
  <si>
    <t xml:space="preserve">CAC, LTV и окупаемость (блендед по платящим)</t>
  </si>
  <si>
    <t xml:space="preserve">Показатель</t>
  </si>
  <si>
    <t xml:space="preserve">Лидов на 1 оплату</t>
  </si>
  <si>
    <t xml:space="preserve">Триалов на 1 оплату</t>
  </si>
  <si>
    <t xml:space="preserve">Media-CAC, ₽</t>
  </si>
  <si>
    <t xml:space="preserve">Стоимость триалов на оплату, ₽</t>
  </si>
  <si>
    <t xml:space="preserve">CAC итого, ₽</t>
  </si>
  <si>
    <t xml:space="preserve">LTV / контрибуция (блендед по платящим)</t>
  </si>
  <si>
    <t xml:space="preserve">Ср. выручка/клиент, ₽</t>
  </si>
  <si>
    <t xml:space="preserve">Ср. контрибуция/клиент/мес, ₽</t>
  </si>
  <si>
    <t xml:space="preserve">LTV блендед, ₽</t>
  </si>
  <si>
    <t xml:space="preserve">LTV : CAC</t>
  </si>
  <si>
    <t xml:space="preserve">Окупаемость CAC, мес</t>
  </si>
  <si>
    <t xml:space="preserve">Ориентир LTV:CAC ≥ 3,0x. Free сюда не входит (см. Unit-экономику).</t>
  </si>
  <si>
    <t xml:space="preserve">Реальность-чек: честный CAC и LTV (кураторские тарифы)</t>
  </si>
  <si>
    <t xml:space="preserve">Рабочих недель в месяце</t>
  </si>
  <si>
    <t xml:space="preserve">Надбавка к оттоку (если ручная оплата), п.п.</t>
  </si>
  <si>
    <t xml:space="preserve">Стоимость недели куратора (Pro), ₽</t>
  </si>
  <si>
    <t xml:space="preserve">Реальная стоимость триалов на оплату, ₽</t>
  </si>
  <si>
    <t xml:space="preserve">Реальный CAC, ₽ (media + триал-время)</t>
  </si>
  <si>
    <t xml:space="preserve">Для сравнения — CAC из модели, ₽</t>
  </si>
  <si>
    <t xml:space="preserve">LTV блендед (модель), ₽</t>
  </si>
  <si>
    <t xml:space="preserve">Реальный LTV:CAC</t>
  </si>
  <si>
    <t xml:space="preserve">Модельный LTV:CAC</t>
  </si>
  <si>
    <t xml:space="preserve">Триал = неделя времени куратора, не 500 ₽. Поднимай триал→оплату и удержание — это сильнее дешёвого трафика. Надбавку к оттоку держим 0: в Pro продление ведёт куратор.</t>
  </si>
  <si>
    <t xml:space="preserve">Экономика Solo (AI без куратора)</t>
  </si>
  <si>
    <t xml:space="preserve">Цена Solo, ₽/мес</t>
  </si>
  <si>
    <t xml:space="preserve">Сканов/мес</t>
  </si>
  <si>
    <t xml:space="preserve">Цена за скан, ₽</t>
  </si>
  <si>
    <t xml:space="preserve">AI-расход/мес, ₽</t>
  </si>
  <si>
    <t xml:space="preserve">Эквайринг, ₽</t>
  </si>
  <si>
    <t xml:space="preserve">Инфра/клиент, ₽</t>
  </si>
  <si>
    <t xml:space="preserve">Контрибуция/клиент/мес, ₽</t>
  </si>
  <si>
    <t xml:space="preserve">Безубыточный лимит сканов/мес</t>
  </si>
  <si>
    <t xml:space="preserve">Solo не ест время куратора → масштаб мимо узкого места. Лимит сканов держит маржу.</t>
  </si>
  <si>
    <t xml:space="preserve">Экономика куратора (книга Pro)</t>
  </si>
  <si>
    <t xml:space="preserve">Клиентов Pro на куратора</t>
  </si>
  <si>
    <t xml:space="preserve">Выручка книги/мес, ₽</t>
  </si>
  <si>
    <t xml:space="preserve">− Комп куратора (доля), ₽</t>
  </si>
  <si>
    <t xml:space="preserve">Маржа компании с книги/мес, ₽</t>
  </si>
  <si>
    <t xml:space="preserve">Маржа на 1 клиента, ₽</t>
  </si>
  <si>
    <t xml:space="preserve">Комп куратора ≥ минималки?</t>
  </si>
  <si>
    <t xml:space="preserve">Доплата до минималки, ₽</t>
  </si>
  <si>
    <t xml:space="preserve">Фазы цены: основатель → внешний куратор</t>
  </si>
  <si>
    <t xml:space="preserve">Фаза 0 — основатель ведёт (куратор = 0 ₽ кэша)</t>
  </si>
  <si>
    <t xml:space="preserve">Стартовая цена Pro, ₽/мес</t>
  </si>
  <si>
    <t xml:space="preserve">Клиентов у основателя</t>
  </si>
  <si>
    <t xml:space="preserve">Cash-маржа/клиент, ₽</t>
  </si>
  <si>
    <t xml:space="preserve">Месячный кэш при загрузке, ₽</t>
  </si>
  <si>
    <t xml:space="preserve">Фаза 1 — внешний куратор</t>
  </si>
  <si>
    <t xml:space="preserve">Целевая зарплата куратора/мес, ₽</t>
  </si>
  <si>
    <t xml:space="preserve">Полная книга, клиентов</t>
  </si>
  <si>
    <t xml:space="preserve">Комп куратора/клиент, ₽</t>
  </si>
  <si>
    <t xml:space="preserve">Требуемая цена Pro (Ф1), ₽</t>
  </si>
  <si>
    <t xml:space="preserve">Шаг цены vs старт, ₽</t>
  </si>
  <si>
    <t xml:space="preserve">Шаг цены, %</t>
  </si>
  <si>
    <t xml:space="preserve">Бюджет по каналам (иллюстративный месяц)</t>
  </si>
  <si>
    <t xml:space="preserve">Канал</t>
  </si>
  <si>
    <t xml:space="preserve">Бюджет/мес, ₽</t>
  </si>
  <si>
    <t xml:space="preserve">Лиды</t>
  </si>
  <si>
    <t xml:space="preserve">Триалы</t>
  </si>
  <si>
    <t xml:space="preserve">Оплаты</t>
  </si>
  <si>
    <t xml:space="preserve">Сбор 3%, ₽</t>
  </si>
  <si>
    <t xml:space="preserve">Итого, ₽</t>
  </si>
  <si>
    <t xml:space="preserve">Яндекс.Директ (Поиск)</t>
  </si>
  <si>
    <t xml:space="preserve">Telegram посевы/Ads</t>
  </si>
  <si>
    <t xml:space="preserve">VK Реклама</t>
  </si>
  <si>
    <t xml:space="preserve">РСЯ ретаргет</t>
  </si>
  <si>
    <t xml:space="preserve">Контент / органика</t>
  </si>
  <si>
    <t xml:space="preserve">ИТОГО</t>
  </si>
  <si>
    <t xml:space="preserve">CAC по факту бюджета, ₽</t>
  </si>
  <si>
    <t xml:space="preserve">Платящих в месяц</t>
  </si>
  <si>
    <t xml:space="preserve">Прогноз на 12 месяцев (блендед по платящим)</t>
  </si>
  <si>
    <t xml:space="preserve">Ср. контрибуция/клиент, ₽</t>
  </si>
  <si>
    <t xml:space="preserve">CAC, ₽</t>
  </si>
  <si>
    <t xml:space="preserve">Отток/мес (блендед)</t>
  </si>
  <si>
    <t xml:space="preserve">Мес 1</t>
  </si>
  <si>
    <t xml:space="preserve">Мес 2</t>
  </si>
  <si>
    <t xml:space="preserve">Мес 3</t>
  </si>
  <si>
    <t xml:space="preserve">Мес 4</t>
  </si>
  <si>
    <t xml:space="preserve">Мес 5</t>
  </si>
  <si>
    <t xml:space="preserve">Мес 6</t>
  </si>
  <si>
    <t xml:space="preserve">Мес 7</t>
  </si>
  <si>
    <t xml:space="preserve">Мес 8</t>
  </si>
  <si>
    <t xml:space="preserve">Мес 9</t>
  </si>
  <si>
    <t xml:space="preserve">Мес 10</t>
  </si>
  <si>
    <t xml:space="preserve">Мес 11</t>
  </si>
  <si>
    <t xml:space="preserve">Мес 12</t>
  </si>
  <si>
    <t xml:space="preserve">Новые клиенты (input)</t>
  </si>
  <si>
    <t xml:space="preserve">Клиентов на начало</t>
  </si>
  <si>
    <t xml:space="preserve">Отток</t>
  </si>
  <si>
    <t xml:space="preserve">Клиентов на конец</t>
  </si>
  <si>
    <t xml:space="preserve">Средн. клиентов</t>
  </si>
  <si>
    <t xml:space="preserve">Выручка, ₽</t>
  </si>
  <si>
    <t xml:space="preserve">Валовая контрибуция, ₽</t>
  </si>
  <si>
    <t xml:space="preserve">− Привлечение, ₽</t>
  </si>
  <si>
    <t xml:space="preserve">− Инфра, ₽</t>
  </si>
  <si>
    <t xml:space="preserve">Опер. прибыль/мес, ₽</t>
  </si>
  <si>
    <t xml:space="preserve">Кумулятивная прибыль, ₽</t>
  </si>
  <si>
    <t xml:space="preserve">Сценарии: пессим / базовый / оптим</t>
  </si>
  <si>
    <t xml:space="preserve">Пессим.</t>
  </si>
  <si>
    <t xml:space="preserve">Базовый</t>
  </si>
  <si>
    <t xml:space="preserve">Оптим.</t>
  </si>
  <si>
    <t xml:space="preserve">Драйверы (input)</t>
  </si>
  <si>
    <t xml:space="preserve">Лид→триал</t>
  </si>
  <si>
    <t xml:space="preserve">Триал→оплата</t>
  </si>
  <si>
    <t xml:space="preserve">Отток блендед/мес</t>
  </si>
  <si>
    <t xml:space="preserve">Результат</t>
  </si>
  <si>
    <t xml:space="preserve">LTV блендед, ₽ (контриб × срок)</t>
  </si>
  <si>
    <t xml:space="preserve">Окупаемость, мес</t>
  </si>
  <si>
    <t xml:space="preserve">LTV:CAC — строки триал→оплата, столбцы CPL</t>
  </si>
  <si>
    <t xml:space="preserve">LTV блендед фикс по базе; лид→триал базовый. Меняем триал→оплату × CPL.</t>
  </si>
  <si>
    <t xml:space="preserve">LTV блендед</t>
  </si>
  <si>
    <t xml:space="preserve">Триал→оплата \ CPL</t>
  </si>
  <si>
    <t xml:space="preserve">Когортное удержание (старт 100 платящих)</t>
  </si>
  <si>
    <t xml:space="preserve">Стартовая когорта</t>
  </si>
  <si>
    <t xml:space="preserve">Месяц</t>
  </si>
  <si>
    <t xml:space="preserve">Активны нач.</t>
  </si>
  <si>
    <t xml:space="preserve">Активны кон.</t>
  </si>
  <si>
    <t xml:space="preserve">Контриб/мес, ₽</t>
  </si>
  <si>
    <t xml:space="preserve">Накопл. ₽</t>
  </si>
  <si>
    <t xml:space="preserve">LTV/участник за 12 мес, ₽</t>
  </si>
  <si>
    <t xml:space="preserve">Точка безубыточности (операционная)</t>
  </si>
  <si>
    <t xml:space="preserve">Контрибуция/клиент/мес (блендед), ₽</t>
  </si>
  <si>
    <t xml:space="preserve">Клиентов на покрытие инфры</t>
  </si>
  <si>
    <t xml:space="preserve">+ Минималка 1 куратора, ₽</t>
  </si>
  <si>
    <t xml:space="preserve">Клиентов на инфру + 1 минималку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</si>
</sst>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(#,##0&quot; ₽)&quot;;\-"/>
    <numFmt numFmtId="166" formatCode="0.0%"/>
    <numFmt numFmtId="167" formatCode="#,##0;\(#,##0\);\-"/>
    <numFmt numFmtId="168" formatCode="0.0"/>
    <numFmt numFmtId="169" formatCode="0.0\x"/>
    <numFmt numFmtId="170" formatCode="0.00"/>
  </numFmts>
  <fonts count="12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46"/>
  </cols>
  <sheetData>
    <row r="1" customFormat="false" ht="24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</row>
    <row r="3" customFormat="false" ht="15" hidden="false" customHeight="false" outlineLevel="0" collapsed="false">
      <c r="A3" s="3" t="s">
        <v>5</v>
      </c>
      <c r="B3" s="3"/>
      <c r="C3" s="3"/>
      <c r="D3" s="3"/>
    </row>
    <row r="4" customFormat="false" ht="15" hidden="false" customHeight="false" outlineLevel="0" collapsed="false">
      <c r="A4" s="4" t="s">
        <v>6</v>
      </c>
      <c r="B4" s="5" t="n">
        <v>0</v>
      </c>
      <c r="C4" s="4" t="s">
        <v>7</v>
      </c>
      <c r="D4" s="6" t="s">
        <v>8</v>
      </c>
    </row>
    <row r="5" customFormat="false" ht="15" hidden="false" customHeight="false" outlineLevel="0" collapsed="false">
      <c r="A5" s="4" t="s">
        <v>9</v>
      </c>
      <c r="B5" s="7" t="n">
        <v>1190</v>
      </c>
      <c r="C5" s="4" t="s">
        <v>7</v>
      </c>
      <c r="D5" s="6" t="s">
        <v>10</v>
      </c>
    </row>
    <row r="6" customFormat="false" ht="15" hidden="false" customHeight="false" outlineLevel="0" collapsed="false">
      <c r="A6" s="4" t="s">
        <v>11</v>
      </c>
      <c r="B6" s="7" t="n">
        <v>3490</v>
      </c>
      <c r="C6" s="4" t="s">
        <v>7</v>
      </c>
      <c r="D6" s="6" t="s">
        <v>12</v>
      </c>
    </row>
    <row r="7" customFormat="false" ht="15" hidden="false" customHeight="false" outlineLevel="0" collapsed="false">
      <c r="A7" s="4" t="s">
        <v>13</v>
      </c>
      <c r="B7" s="7" t="n">
        <v>7990</v>
      </c>
      <c r="C7" s="4" t="s">
        <v>7</v>
      </c>
      <c r="D7" s="6" t="s">
        <v>14</v>
      </c>
    </row>
    <row r="8" customFormat="false" ht="15" hidden="false" customHeight="false" outlineLevel="0" collapsed="false">
      <c r="A8" s="4" t="s">
        <v>15</v>
      </c>
      <c r="B8" s="7" t="n">
        <v>14990</v>
      </c>
      <c r="C8" s="4" t="s">
        <v>7</v>
      </c>
      <c r="D8" s="6" t="s">
        <v>16</v>
      </c>
    </row>
    <row r="9" customFormat="false" ht="15" hidden="false" customHeight="false" outlineLevel="0" collapsed="false">
      <c r="A9" s="3" t="s">
        <v>17</v>
      </c>
      <c r="B9" s="3"/>
      <c r="C9" s="3"/>
      <c r="D9" s="3"/>
    </row>
    <row r="10" customFormat="false" ht="15" hidden="false" customHeight="false" outlineLevel="0" collapsed="false">
      <c r="A10" s="4" t="s">
        <v>18</v>
      </c>
      <c r="B10" s="8" t="n">
        <v>0</v>
      </c>
      <c r="C10" s="4" t="s">
        <v>19</v>
      </c>
      <c r="D10" s="6" t="s">
        <v>20</v>
      </c>
    </row>
    <row r="11" customFormat="false" ht="15" hidden="false" customHeight="false" outlineLevel="0" collapsed="false">
      <c r="A11" s="4" t="s">
        <v>21</v>
      </c>
      <c r="B11" s="8" t="n">
        <v>0</v>
      </c>
      <c r="C11" s="4" t="s">
        <v>19</v>
      </c>
      <c r="D11" s="6" t="s">
        <v>20</v>
      </c>
    </row>
    <row r="12" customFormat="false" ht="15" hidden="false" customHeight="false" outlineLevel="0" collapsed="false">
      <c r="A12" s="4" t="s">
        <v>22</v>
      </c>
      <c r="B12" s="9" t="n">
        <v>0.25</v>
      </c>
      <c r="C12" s="4" t="s">
        <v>19</v>
      </c>
      <c r="D12" s="6" t="s">
        <v>23</v>
      </c>
    </row>
    <row r="13" customFormat="false" ht="15" hidden="false" customHeight="false" outlineLevel="0" collapsed="false">
      <c r="A13" s="4" t="s">
        <v>24</v>
      </c>
      <c r="B13" s="9" t="n">
        <v>0.5</v>
      </c>
      <c r="C13" s="4" t="s">
        <v>19</v>
      </c>
      <c r="D13" s="6" t="s">
        <v>25</v>
      </c>
    </row>
    <row r="14" customFormat="false" ht="15" hidden="false" customHeight="false" outlineLevel="0" collapsed="false">
      <c r="A14" s="4" t="s">
        <v>26</v>
      </c>
      <c r="B14" s="9" t="n">
        <v>0.5</v>
      </c>
      <c r="C14" s="4" t="s">
        <v>19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3"/>
      <c r="C15" s="3"/>
      <c r="D15" s="3"/>
    </row>
    <row r="16" customFormat="false" ht="15" hidden="false" customHeight="false" outlineLevel="0" collapsed="false">
      <c r="A16" s="4" t="s">
        <v>29</v>
      </c>
      <c r="B16" s="9" t="n">
        <v>0.12</v>
      </c>
      <c r="C16" s="4" t="s">
        <v>19</v>
      </c>
      <c r="D16" s="6" t="s">
        <v>30</v>
      </c>
    </row>
    <row r="17" customFormat="false" ht="15" hidden="false" customHeight="false" outlineLevel="0" collapsed="false">
      <c r="A17" s="4" t="s">
        <v>31</v>
      </c>
      <c r="B17" s="9" t="n">
        <v>0.1</v>
      </c>
      <c r="C17" s="4" t="s">
        <v>19</v>
      </c>
      <c r="D17" s="6"/>
    </row>
    <row r="18" customFormat="false" ht="15" hidden="false" customHeight="false" outlineLevel="0" collapsed="false">
      <c r="A18" s="4" t="s">
        <v>32</v>
      </c>
      <c r="B18" s="9" t="n">
        <v>0.08</v>
      </c>
      <c r="C18" s="4" t="s">
        <v>19</v>
      </c>
      <c r="D18" s="6" t="s">
        <v>33</v>
      </c>
    </row>
    <row r="19" customFormat="false" ht="15" hidden="false" customHeight="false" outlineLevel="0" collapsed="false">
      <c r="A19" s="4" t="s">
        <v>34</v>
      </c>
      <c r="B19" s="9" t="n">
        <v>0.07</v>
      </c>
      <c r="C19" s="4" t="s">
        <v>19</v>
      </c>
      <c r="D19" s="6"/>
    </row>
    <row r="20" customFormat="false" ht="15" hidden="false" customHeight="false" outlineLevel="0" collapsed="false">
      <c r="A20" s="3" t="s">
        <v>35</v>
      </c>
      <c r="B20" s="3"/>
      <c r="C20" s="3"/>
      <c r="D20" s="3"/>
    </row>
    <row r="21" customFormat="false" ht="15" hidden="false" customHeight="false" outlineLevel="0" collapsed="false">
      <c r="A21" s="4" t="s">
        <v>36</v>
      </c>
      <c r="B21" s="8" t="n">
        <v>0.35</v>
      </c>
      <c r="C21" s="4" t="s">
        <v>19</v>
      </c>
      <c r="D21" s="6" t="s">
        <v>37</v>
      </c>
    </row>
    <row r="22" customFormat="false" ht="15" hidden="false" customHeight="false" outlineLevel="0" collapsed="false">
      <c r="A22" s="4" t="s">
        <v>38</v>
      </c>
      <c r="B22" s="8" t="n">
        <v>0.25</v>
      </c>
      <c r="C22" s="4" t="s">
        <v>19</v>
      </c>
      <c r="D22" s="6"/>
    </row>
    <row r="23" customFormat="false" ht="15" hidden="false" customHeight="false" outlineLevel="0" collapsed="false">
      <c r="A23" s="4" t="s">
        <v>39</v>
      </c>
      <c r="B23" s="8" t="n">
        <v>0.3</v>
      </c>
      <c r="C23" s="4" t="s">
        <v>19</v>
      </c>
      <c r="D23" s="6"/>
    </row>
    <row r="24" customFormat="false" ht="15" hidden="false" customHeight="false" outlineLevel="0" collapsed="false">
      <c r="A24" s="4" t="s">
        <v>40</v>
      </c>
      <c r="B24" s="8" t="n">
        <v>0.1</v>
      </c>
      <c r="C24" s="4" t="s">
        <v>19</v>
      </c>
      <c r="D24" s="6" t="s">
        <v>41</v>
      </c>
    </row>
    <row r="25" customFormat="false" ht="15" hidden="false" customHeight="false" outlineLevel="0" collapsed="false">
      <c r="A25" s="3" t="s">
        <v>42</v>
      </c>
      <c r="B25" s="3"/>
      <c r="C25" s="3"/>
      <c r="D25" s="3"/>
    </row>
    <row r="26" customFormat="false" ht="15" hidden="false" customHeight="false" outlineLevel="0" collapsed="false">
      <c r="A26" s="4" t="s">
        <v>43</v>
      </c>
      <c r="B26" s="7" t="n">
        <v>3</v>
      </c>
      <c r="C26" s="4" t="s">
        <v>7</v>
      </c>
      <c r="D26" s="6" t="s">
        <v>44</v>
      </c>
    </row>
    <row r="27" customFormat="false" ht="15" hidden="false" customHeight="false" outlineLevel="0" collapsed="false">
      <c r="A27" s="4" t="s">
        <v>45</v>
      </c>
      <c r="B27" s="10" t="n">
        <v>100</v>
      </c>
      <c r="C27" s="4" t="s">
        <v>46</v>
      </c>
      <c r="D27" s="6" t="s">
        <v>47</v>
      </c>
    </row>
    <row r="28" customFormat="false" ht="15" hidden="false" customHeight="false" outlineLevel="0" collapsed="false">
      <c r="A28" s="4" t="s">
        <v>48</v>
      </c>
      <c r="B28" s="10" t="n">
        <v>60</v>
      </c>
      <c r="C28" s="4" t="s">
        <v>46</v>
      </c>
      <c r="D28" s="6" t="s">
        <v>49</v>
      </c>
    </row>
    <row r="29" customFormat="false" ht="15" hidden="false" customHeight="false" outlineLevel="0" collapsed="false">
      <c r="A29" s="3" t="s">
        <v>50</v>
      </c>
      <c r="B29" s="3"/>
      <c r="C29" s="3"/>
      <c r="D29" s="3"/>
    </row>
    <row r="30" customFormat="false" ht="15" hidden="false" customHeight="false" outlineLevel="0" collapsed="false">
      <c r="A30" s="4" t="s">
        <v>51</v>
      </c>
      <c r="B30" s="8" t="n">
        <v>0.035</v>
      </c>
      <c r="C30" s="4" t="s">
        <v>19</v>
      </c>
      <c r="D30" s="6" t="s">
        <v>52</v>
      </c>
    </row>
    <row r="31" customFormat="false" ht="15" hidden="false" customHeight="false" outlineLevel="0" collapsed="false">
      <c r="A31" s="4" t="s">
        <v>53</v>
      </c>
      <c r="B31" s="5" t="n">
        <v>50</v>
      </c>
      <c r="C31" s="4" t="s">
        <v>7</v>
      </c>
      <c r="D31" s="6" t="s">
        <v>54</v>
      </c>
    </row>
    <row r="32" customFormat="false" ht="15" hidden="false" customHeight="false" outlineLevel="0" collapsed="false">
      <c r="A32" s="4" t="s">
        <v>55</v>
      </c>
      <c r="B32" s="5" t="n">
        <v>4600</v>
      </c>
      <c r="C32" s="4" t="s">
        <v>7</v>
      </c>
      <c r="D32" s="6" t="s">
        <v>56</v>
      </c>
    </row>
    <row r="33" customFormat="false" ht="15" hidden="false" customHeight="false" outlineLevel="0" collapsed="false">
      <c r="A33" s="3" t="s">
        <v>57</v>
      </c>
      <c r="B33" s="3"/>
      <c r="C33" s="3"/>
      <c r="D33" s="3"/>
    </row>
    <row r="34" customFormat="false" ht="15" hidden="false" customHeight="false" outlineLevel="0" collapsed="false">
      <c r="A34" s="4" t="s">
        <v>58</v>
      </c>
      <c r="B34" s="9" t="n">
        <v>0.4</v>
      </c>
      <c r="C34" s="4" t="s">
        <v>19</v>
      </c>
      <c r="D34" s="6" t="s">
        <v>59</v>
      </c>
    </row>
    <row r="35" customFormat="false" ht="15" hidden="false" customHeight="false" outlineLevel="0" collapsed="false">
      <c r="A35" s="4" t="s">
        <v>60</v>
      </c>
      <c r="B35" s="9" t="n">
        <v>0.3</v>
      </c>
      <c r="C35" s="4" t="s">
        <v>19</v>
      </c>
      <c r="D35" s="6" t="s">
        <v>59</v>
      </c>
    </row>
    <row r="36" customFormat="false" ht="15" hidden="false" customHeight="false" outlineLevel="0" collapsed="false">
      <c r="A36" s="4" t="s">
        <v>61</v>
      </c>
      <c r="B36" s="7" t="n">
        <v>400</v>
      </c>
      <c r="C36" s="4" t="s">
        <v>7</v>
      </c>
      <c r="D36" s="6" t="s">
        <v>59</v>
      </c>
    </row>
    <row r="37" customFormat="false" ht="15" hidden="false" customHeight="false" outlineLevel="0" collapsed="false">
      <c r="A37" s="4" t="s">
        <v>62</v>
      </c>
      <c r="B37" s="5" t="n">
        <v>500</v>
      </c>
      <c r="C37" s="4" t="s">
        <v>7</v>
      </c>
      <c r="D37" s="6"/>
    </row>
    <row r="38" customFormat="false" ht="15" hidden="false" customHeight="false" outlineLevel="0" collapsed="false">
      <c r="A38" s="4" t="s">
        <v>63</v>
      </c>
      <c r="B38" s="5" t="n">
        <v>2500</v>
      </c>
      <c r="C38" s="4" t="s">
        <v>7</v>
      </c>
      <c r="D38" s="6"/>
    </row>
    <row r="39" customFormat="false" ht="15" hidden="false" customHeight="false" outlineLevel="0" collapsed="false">
      <c r="A39" s="3" t="s">
        <v>64</v>
      </c>
      <c r="B39" s="3"/>
      <c r="C39" s="3"/>
      <c r="D39" s="3"/>
    </row>
    <row r="40" customFormat="false" ht="15" hidden="false" customHeight="false" outlineLevel="0" collapsed="false">
      <c r="A40" s="4" t="s">
        <v>65</v>
      </c>
      <c r="B40" s="10" t="n">
        <v>14</v>
      </c>
      <c r="C40" s="4" t="s">
        <v>46</v>
      </c>
      <c r="D40" s="6" t="s">
        <v>66</v>
      </c>
    </row>
    <row r="41" customFormat="false" ht="15" hidden="false" customHeight="false" outlineLevel="0" collapsed="false">
      <c r="A41" s="4" t="s">
        <v>67</v>
      </c>
      <c r="B41" s="5" t="n">
        <v>50000</v>
      </c>
      <c r="C41" s="4" t="s">
        <v>7</v>
      </c>
      <c r="D41" s="6" t="s">
        <v>68</v>
      </c>
    </row>
    <row r="42" customFormat="false" ht="15" hidden="false" customHeight="false" outlineLevel="0" collapsed="false">
      <c r="A42" s="4" t="s">
        <v>69</v>
      </c>
      <c r="B42" s="7" t="n">
        <v>75000</v>
      </c>
      <c r="C42" s="4" t="s">
        <v>7</v>
      </c>
      <c r="D42" s="6" t="s">
        <v>70</v>
      </c>
    </row>
    <row r="43" customFormat="false" ht="15" hidden="false" customHeight="false" outlineLevel="0" collapsed="false">
      <c r="A43" s="4" t="s">
        <v>71</v>
      </c>
      <c r="B43" s="7" t="n">
        <v>3500</v>
      </c>
      <c r="C43" s="4" t="s">
        <v>7</v>
      </c>
      <c r="D43" s="6" t="s">
        <v>70</v>
      </c>
    </row>
    <row r="44" customFormat="false" ht="15" hidden="false" customHeight="false" outlineLevel="0" collapsed="false">
      <c r="A44" s="3" t="s">
        <v>72</v>
      </c>
      <c r="B44" s="3"/>
      <c r="C44" s="3"/>
      <c r="D44" s="3"/>
    </row>
    <row r="45" customFormat="false" ht="15" hidden="false" customHeight="false" outlineLevel="0" collapsed="false">
      <c r="A45" s="4" t="s">
        <v>73</v>
      </c>
      <c r="B45" s="11" t="n">
        <f aca="false">Допущения!$B$16*Допущения!$B$21+Допущения!$B$17*Допущения!$B$22+Допущения!$B$18*Допущения!$B$23+Допущения!$B$19*Допущения!$B$24</f>
        <v>0.098</v>
      </c>
    </row>
    <row r="46" customFormat="false" ht="15" hidden="false" customHeight="false" outlineLevel="0" collapsed="false">
      <c r="A46" s="4" t="s">
        <v>74</v>
      </c>
      <c r="B46" s="12" t="n">
        <f aca="false">1/B45</f>
        <v>10.2040816326531</v>
      </c>
    </row>
  </sheetData>
  <mergeCells count="10">
    <mergeCell ref="A1:D1"/>
    <mergeCell ref="A3:D3"/>
    <mergeCell ref="A9:D9"/>
    <mergeCell ref="A15:D15"/>
    <mergeCell ref="A20:D20"/>
    <mergeCell ref="A25:D25"/>
    <mergeCell ref="A29:D29"/>
    <mergeCell ref="A33:D33"/>
    <mergeCell ref="A39:D39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24" hidden="false" customHeight="true" outlineLevel="0" collapsed="false">
      <c r="A1" s="1" t="s">
        <v>75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76</v>
      </c>
      <c r="B3" s="2" t="s">
        <v>77</v>
      </c>
      <c r="C3" s="2" t="s">
        <v>78</v>
      </c>
      <c r="D3" s="2" t="s">
        <v>79</v>
      </c>
      <c r="E3" s="2" t="s">
        <v>80</v>
      </c>
      <c r="F3" s="2" t="s">
        <v>81</v>
      </c>
    </row>
    <row r="4" customFormat="false" ht="15" hidden="false" customHeight="false" outlineLevel="0" collapsed="false">
      <c r="A4" s="4" t="s">
        <v>82</v>
      </c>
      <c r="B4" s="13" t="n">
        <f aca="false">Допущения!$B$4</f>
        <v>0</v>
      </c>
      <c r="C4" s="13" t="n">
        <f aca="false">Допущения!$B$5</f>
        <v>1190</v>
      </c>
      <c r="D4" s="13" t="n">
        <f aca="false">Допущения!$B$6</f>
        <v>3490</v>
      </c>
      <c r="E4" s="13" t="n">
        <f aca="false">Допущения!$B$7</f>
        <v>7990</v>
      </c>
      <c r="F4" s="13" t="n">
        <f aca="false">Допущения!$B$8</f>
        <v>14990</v>
      </c>
    </row>
    <row r="5" customFormat="false" ht="15" hidden="false" customHeight="false" outlineLevel="0" collapsed="false">
      <c r="A5" s="4" t="s">
        <v>83</v>
      </c>
      <c r="B5" s="14" t="n">
        <f aca="false">Допущения!$B$28*Допущения!$B$26</f>
        <v>180</v>
      </c>
      <c r="C5" s="14" t="n">
        <f aca="false">Допущения!$B$27*Допущения!$B$26</f>
        <v>300</v>
      </c>
      <c r="D5" s="14" t="n">
        <f aca="false">Допущения!$B$27*Допущения!$B$26</f>
        <v>300</v>
      </c>
      <c r="E5" s="14" t="n">
        <f aca="false">Допущения!$B$27*Допущения!$B$26</f>
        <v>300</v>
      </c>
      <c r="F5" s="14" t="n">
        <f aca="false">Допущения!$B$27*Допущения!$B$26</f>
        <v>300</v>
      </c>
    </row>
    <row r="6" customFormat="false" ht="15" hidden="false" customHeight="false" outlineLevel="0" collapsed="false">
      <c r="A6" s="4" t="s">
        <v>84</v>
      </c>
      <c r="B6" s="14" t="n">
        <f aca="false">B4*Допущения!$B$10</f>
        <v>0</v>
      </c>
      <c r="C6" s="14" t="n">
        <f aca="false">C4*Допущения!$B$11</f>
        <v>0</v>
      </c>
      <c r="D6" s="14" t="n">
        <f aca="false">D4*Допущения!$B$12</f>
        <v>872.5</v>
      </c>
      <c r="E6" s="14" t="n">
        <f aca="false">E4*Допущения!$B$13</f>
        <v>3995</v>
      </c>
      <c r="F6" s="14" t="n">
        <f aca="false">F4*Допущения!$B$14</f>
        <v>7495</v>
      </c>
    </row>
    <row r="7" customFormat="false" ht="15" hidden="false" customHeight="false" outlineLevel="0" collapsed="false">
      <c r="A7" s="4" t="s">
        <v>85</v>
      </c>
      <c r="B7" s="14" t="n">
        <f aca="false">B4*Допущения!$B$30</f>
        <v>0</v>
      </c>
      <c r="C7" s="14" t="n">
        <f aca="false">C4*Допущения!$B$30</f>
        <v>41.65</v>
      </c>
      <c r="D7" s="14" t="n">
        <f aca="false">D4*Допущения!$B$30</f>
        <v>122.15</v>
      </c>
      <c r="E7" s="14" t="n">
        <f aca="false">E4*Допущения!$B$30</f>
        <v>279.65</v>
      </c>
      <c r="F7" s="14" t="n">
        <f aca="false">F4*Допущения!$B$30</f>
        <v>524.65</v>
      </c>
    </row>
    <row r="8" customFormat="false" ht="15" hidden="false" customHeight="false" outlineLevel="0" collapsed="false">
      <c r="A8" s="4" t="s">
        <v>86</v>
      </c>
      <c r="B8" s="13" t="n">
        <f aca="false">Допущения!$B$31</f>
        <v>50</v>
      </c>
      <c r="C8" s="13" t="n">
        <f aca="false">Допущения!$B$31</f>
        <v>50</v>
      </c>
      <c r="D8" s="13" t="n">
        <f aca="false">Допущения!$B$31</f>
        <v>50</v>
      </c>
      <c r="E8" s="13" t="n">
        <f aca="false">Допущения!$B$31</f>
        <v>50</v>
      </c>
      <c r="F8" s="13" t="n">
        <f aca="false">Допущения!$B$31</f>
        <v>50</v>
      </c>
    </row>
    <row r="9" customFormat="false" ht="15" hidden="false" customHeight="false" outlineLevel="0" collapsed="false">
      <c r="A9" s="15" t="s">
        <v>87</v>
      </c>
      <c r="B9" s="16" t="n">
        <f aca="false">B4-B5-B6-B7-B8</f>
        <v>-230</v>
      </c>
      <c r="C9" s="16" t="n">
        <f aca="false">C4-C5-C6-C7-C8</f>
        <v>798.35</v>
      </c>
      <c r="D9" s="16" t="n">
        <f aca="false">D4-D5-D6-D7-D8</f>
        <v>2145.35</v>
      </c>
      <c r="E9" s="16" t="n">
        <f aca="false">E4-E5-E6-E7-E8</f>
        <v>3365.35</v>
      </c>
      <c r="F9" s="16" t="n">
        <f aca="false">F4-F5-F6-F7-F8</f>
        <v>6620.35</v>
      </c>
    </row>
    <row r="10" customFormat="false" ht="15" hidden="false" customHeight="false" outlineLevel="0" collapsed="false">
      <c r="A10" s="4" t="s">
        <v>88</v>
      </c>
      <c r="B10" s="11" t="str">
        <f aca="false">IF(B4=0,"—",B9/B4)</f>
        <v>—</v>
      </c>
      <c r="C10" s="11" t="n">
        <f aca="false">IF(C4=0,"—",C9/C4)</f>
        <v>0.670882352941177</v>
      </c>
      <c r="D10" s="11" t="n">
        <f aca="false">IF(D4=0,"—",D9/D4)</f>
        <v>0.614713467048711</v>
      </c>
      <c r="E10" s="11" t="n">
        <f aca="false">IF(E4=0,"—",E9/E4)</f>
        <v>0.421195244055069</v>
      </c>
      <c r="F10" s="11" t="n">
        <f aca="false">IF(F4=0,"—",F9/F4)</f>
        <v>0.441651100733823</v>
      </c>
    </row>
    <row r="11" customFormat="false" ht="15" hidden="false" customHeight="false" outlineLevel="0" collapsed="false">
      <c r="A11" s="4" t="s">
        <v>89</v>
      </c>
      <c r="B11" s="17" t="s">
        <v>90</v>
      </c>
      <c r="C11" s="18" t="n">
        <f aca="false">Допущения!$B$16</f>
        <v>0.12</v>
      </c>
      <c r="D11" s="18" t="n">
        <f aca="false">Допущения!$B$17</f>
        <v>0.1</v>
      </c>
      <c r="E11" s="18" t="n">
        <f aca="false">Допущения!$B$18</f>
        <v>0.08</v>
      </c>
      <c r="F11" s="18" t="n">
        <f aca="false">Допущения!$B$19</f>
        <v>0.07</v>
      </c>
    </row>
    <row r="12" customFormat="false" ht="15" hidden="false" customHeight="false" outlineLevel="0" collapsed="false">
      <c r="A12" s="4" t="s">
        <v>91</v>
      </c>
      <c r="B12" s="17" t="s">
        <v>90</v>
      </c>
      <c r="C12" s="12" t="n">
        <f aca="false">1/C11</f>
        <v>8.33333333333333</v>
      </c>
      <c r="D12" s="12" t="n">
        <f aca="false">1/D11</f>
        <v>10</v>
      </c>
      <c r="E12" s="12" t="n">
        <f aca="false">1/E11</f>
        <v>12.5</v>
      </c>
      <c r="F12" s="12" t="n">
        <f aca="false">1/F11</f>
        <v>14.2857142857143</v>
      </c>
    </row>
    <row r="13" customFormat="false" ht="15" hidden="false" customHeight="false" outlineLevel="0" collapsed="false">
      <c r="A13" s="15" t="s">
        <v>92</v>
      </c>
      <c r="B13" s="17" t="s">
        <v>90</v>
      </c>
      <c r="C13" s="16" t="n">
        <f aca="false">C9*C12</f>
        <v>6652.91666666667</v>
      </c>
      <c r="D13" s="16" t="n">
        <f aca="false">D9*D12</f>
        <v>21453.5</v>
      </c>
      <c r="E13" s="16" t="n">
        <f aca="false">E9*E12</f>
        <v>42066.875</v>
      </c>
      <c r="F13" s="16" t="n">
        <f aca="false">F9*F12</f>
        <v>94576.4285714286</v>
      </c>
    </row>
    <row r="15" customFormat="false" ht="15" hidden="false" customHeight="true" outlineLevel="0" collapsed="false">
      <c r="A15" s="19" t="s">
        <v>93</v>
      </c>
      <c r="B15" s="19"/>
      <c r="C15" s="19"/>
      <c r="D15" s="19"/>
      <c r="E15" s="19"/>
      <c r="F15" s="19"/>
    </row>
    <row r="16" customFormat="false" ht="15" hidden="false" customHeight="false" outlineLevel="0" collapsed="false">
      <c r="A16" s="19"/>
      <c r="B16" s="19"/>
      <c r="C16" s="19"/>
      <c r="D16" s="19"/>
      <c r="E16" s="19"/>
      <c r="F16" s="19"/>
    </row>
  </sheetData>
  <mergeCells count="2">
    <mergeCell ref="A1:F1"/>
    <mergeCell ref="A15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</cols>
  <sheetData>
    <row r="1" customFormat="false" ht="24" hidden="false" customHeight="true" outlineLevel="0" collapsed="false">
      <c r="A1" s="1" t="s">
        <v>94</v>
      </c>
      <c r="B1" s="1"/>
    </row>
    <row r="3" customFormat="false" ht="15" hidden="false" customHeight="false" outlineLevel="0" collapsed="false">
      <c r="A3" s="2" t="s">
        <v>95</v>
      </c>
      <c r="B3" s="2" t="s">
        <v>2</v>
      </c>
    </row>
    <row r="4" customFormat="false" ht="15" hidden="false" customHeight="false" outlineLevel="0" collapsed="false">
      <c r="A4" s="4" t="s">
        <v>96</v>
      </c>
      <c r="B4" s="12" t="n">
        <f aca="false">1/(Допущения!$B$34*Допущения!$B$35)</f>
        <v>8.33333333333333</v>
      </c>
    </row>
    <row r="5" customFormat="false" ht="15" hidden="false" customHeight="false" outlineLevel="0" collapsed="false">
      <c r="A5" s="4" t="s">
        <v>97</v>
      </c>
      <c r="B5" s="12" t="n">
        <f aca="false">1/Допущения!$B$35</f>
        <v>3.33333333333333</v>
      </c>
    </row>
    <row r="6" customFormat="false" ht="15" hidden="false" customHeight="false" outlineLevel="0" collapsed="false">
      <c r="A6" s="4" t="s">
        <v>98</v>
      </c>
      <c r="B6" s="14" t="n">
        <f aca="false">B4*Допущения!$B$36</f>
        <v>3333.33333333333</v>
      </c>
    </row>
    <row r="7" customFormat="false" ht="15" hidden="false" customHeight="false" outlineLevel="0" collapsed="false">
      <c r="A7" s="4" t="s">
        <v>99</v>
      </c>
      <c r="B7" s="14" t="n">
        <f aca="false">B5*Допущения!$B$37+Допущения!$B$38</f>
        <v>4166.66666666667</v>
      </c>
    </row>
    <row r="8" customFormat="false" ht="15" hidden="false" customHeight="false" outlineLevel="0" collapsed="false">
      <c r="A8" s="15" t="s">
        <v>100</v>
      </c>
      <c r="B8" s="16" t="n">
        <f aca="false">B6+B7</f>
        <v>7500</v>
      </c>
    </row>
    <row r="9" customFormat="false" ht="15" hidden="false" customHeight="false" outlineLevel="0" collapsed="false">
      <c r="A9" s="3" t="s">
        <v>101</v>
      </c>
      <c r="B9" s="3"/>
    </row>
    <row r="10" customFormat="false" ht="15" hidden="false" customHeight="false" outlineLevel="0" collapsed="false">
      <c r="A10" s="4" t="s">
        <v>102</v>
      </c>
      <c r="B10" s="14" t="n">
        <f aca="false">'Unit-экономика'!C4*Допущения!$B$21+'Unit-экономика'!D4*Допущения!$B$22+'Unit-экономика'!E4*Допущения!$B$23+'Unit-экономика'!F4*Допущения!$B$24</f>
        <v>5185</v>
      </c>
    </row>
    <row r="11" customFormat="false" ht="15" hidden="false" customHeight="false" outlineLevel="0" collapsed="false">
      <c r="A11" s="4" t="s">
        <v>103</v>
      </c>
      <c r="B11" s="14" t="n">
        <f aca="false">'Unit-экономика'!C9*Допущения!$B$21+'Unit-экономика'!D9*Допущения!$B$22+'Unit-экономика'!E9*Допущения!$B$23+'Unit-экономика'!F9*Допущения!$B$24</f>
        <v>2487.4</v>
      </c>
    </row>
    <row r="12" customFormat="false" ht="15" hidden="false" customHeight="false" outlineLevel="0" collapsed="false">
      <c r="A12" s="15" t="s">
        <v>104</v>
      </c>
      <c r="B12" s="16" t="n">
        <f aca="false">'Unit-экономика'!C13*Допущения!$B$21+'Unit-экономика'!D13*Допущения!$B$22+'Unit-экономика'!E13*Допущения!$B$23+'Unit-экономика'!F13*Допущения!$B$24</f>
        <v>29769.6011904762</v>
      </c>
    </row>
    <row r="13" customFormat="false" ht="15" hidden="false" customHeight="false" outlineLevel="0" collapsed="false">
      <c r="A13" s="15" t="s">
        <v>105</v>
      </c>
      <c r="B13" s="20" t="n">
        <f aca="false">B12/B8</f>
        <v>3.96928015873016</v>
      </c>
    </row>
    <row r="14" customFormat="false" ht="15" hidden="false" customHeight="false" outlineLevel="0" collapsed="false">
      <c r="A14" s="4" t="s">
        <v>106</v>
      </c>
      <c r="B14" s="12" t="n">
        <f aca="false">B8/B11</f>
        <v>3.01519659081772</v>
      </c>
    </row>
    <row r="15" customFormat="false" ht="15" hidden="false" customHeight="true" outlineLevel="0" collapsed="false">
      <c r="A15" s="19" t="s">
        <v>107</v>
      </c>
      <c r="B15" s="19"/>
    </row>
    <row r="16" customFormat="false" ht="15" hidden="false" customHeight="false" outlineLevel="0" collapsed="false">
      <c r="A16" s="19"/>
      <c r="B16" s="19"/>
    </row>
  </sheetData>
  <mergeCells count="3">
    <mergeCell ref="A1:B1"/>
    <mergeCell ref="A9:B9"/>
    <mergeCell ref="A15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</cols>
  <sheetData>
    <row r="1" customFormat="false" ht="24" hidden="false" customHeight="true" outlineLevel="0" collapsed="false">
      <c r="A1" s="1" t="s">
        <v>108</v>
      </c>
      <c r="B1" s="1"/>
    </row>
    <row r="3" customFormat="false" ht="15" hidden="false" customHeight="false" outlineLevel="0" collapsed="false">
      <c r="A3" s="2" t="s">
        <v>95</v>
      </c>
      <c r="B3" s="2" t="s">
        <v>2</v>
      </c>
    </row>
    <row r="4" customFormat="false" ht="15" hidden="false" customHeight="false" outlineLevel="0" collapsed="false">
      <c r="A4" s="4" t="s">
        <v>109</v>
      </c>
      <c r="B4" s="21" t="n">
        <v>4.33</v>
      </c>
    </row>
    <row r="5" customFormat="false" ht="15" hidden="false" customHeight="false" outlineLevel="0" collapsed="false">
      <c r="A5" s="4" t="s">
        <v>110</v>
      </c>
      <c r="B5" s="9" t="n">
        <v>0</v>
      </c>
    </row>
    <row r="6" customFormat="false" ht="15" hidden="false" customHeight="false" outlineLevel="0" collapsed="false">
      <c r="A6" s="4" t="s">
        <v>111</v>
      </c>
      <c r="B6" s="14" t="n">
        <f aca="false">Допущения!$B$7*Допущения!$B$13/B4</f>
        <v>922.632794457275</v>
      </c>
    </row>
    <row r="7" customFormat="false" ht="15" hidden="false" customHeight="false" outlineLevel="0" collapsed="false">
      <c r="A7" s="4" t="s">
        <v>97</v>
      </c>
      <c r="B7" s="12" t="n">
        <f aca="false">1/Допущения!$B$35</f>
        <v>3.33333333333333</v>
      </c>
    </row>
    <row r="8" customFormat="false" ht="15" hidden="false" customHeight="false" outlineLevel="0" collapsed="false">
      <c r="A8" s="4" t="s">
        <v>112</v>
      </c>
      <c r="B8" s="14" t="n">
        <f aca="false">B7*(B6+Допущения!$B$37)+Допущения!$B$38</f>
        <v>7242.10931485758</v>
      </c>
    </row>
    <row r="9" customFormat="false" ht="15" hidden="false" customHeight="false" outlineLevel="0" collapsed="false">
      <c r="A9" s="15" t="s">
        <v>113</v>
      </c>
      <c r="B9" s="22" t="n">
        <f aca="false">'CAC-LTV'!B6+B8</f>
        <v>10575.4426481909</v>
      </c>
    </row>
    <row r="10" customFormat="false" ht="15" hidden="false" customHeight="false" outlineLevel="0" collapsed="false">
      <c r="A10" s="4" t="s">
        <v>114</v>
      </c>
      <c r="B10" s="13" t="n">
        <f aca="false">'CAC-LTV'!B8</f>
        <v>7500</v>
      </c>
    </row>
    <row r="11" customFormat="false" ht="15" hidden="false" customHeight="false" outlineLevel="0" collapsed="false">
      <c r="A11" s="4" t="s">
        <v>115</v>
      </c>
      <c r="B11" s="13" t="n">
        <f aca="false">'CAC-LTV'!B12</f>
        <v>29769.6011904762</v>
      </c>
    </row>
    <row r="12" customFormat="false" ht="15" hidden="false" customHeight="false" outlineLevel="0" collapsed="false">
      <c r="A12" s="15" t="s">
        <v>116</v>
      </c>
      <c r="B12" s="20" t="n">
        <f aca="false">B11/B9</f>
        <v>2.81497448199662</v>
      </c>
    </row>
    <row r="13" customFormat="false" ht="15" hidden="false" customHeight="false" outlineLevel="0" collapsed="false">
      <c r="A13" s="4" t="s">
        <v>117</v>
      </c>
      <c r="B13" s="23" t="n">
        <f aca="false">'CAC-LTV'!B13</f>
        <v>3.96928015873016</v>
      </c>
    </row>
    <row r="14" customFormat="false" ht="15" hidden="false" customHeight="true" outlineLevel="0" collapsed="false">
      <c r="A14" s="19" t="s">
        <v>118</v>
      </c>
      <c r="B14" s="19"/>
    </row>
    <row r="15" customFormat="false" ht="15" hidden="false" customHeight="false" outlineLevel="0" collapsed="false">
      <c r="A15" s="19"/>
      <c r="B15" s="19"/>
    </row>
    <row r="16" customFormat="false" ht="15" hidden="false" customHeight="false" outlineLevel="0" collapsed="false">
      <c r="A16" s="19"/>
      <c r="B16" s="19"/>
    </row>
  </sheetData>
  <mergeCells count="2">
    <mergeCell ref="A1:B1"/>
    <mergeCell ref="A14:B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</cols>
  <sheetData>
    <row r="1" customFormat="false" ht="24" hidden="false" customHeight="true" outlineLevel="0" collapsed="false">
      <c r="A1" s="1" t="s">
        <v>119</v>
      </c>
      <c r="B1" s="1"/>
    </row>
    <row r="3" customFormat="false" ht="15" hidden="false" customHeight="false" outlineLevel="0" collapsed="false">
      <c r="A3" s="2" t="s">
        <v>95</v>
      </c>
      <c r="B3" s="2" t="s">
        <v>2</v>
      </c>
    </row>
    <row r="4" customFormat="false" ht="15" hidden="false" customHeight="false" outlineLevel="0" collapsed="false">
      <c r="A4" s="4" t="s">
        <v>120</v>
      </c>
      <c r="B4" s="13" t="n">
        <f aca="false">Допущения!$B$5</f>
        <v>1190</v>
      </c>
    </row>
    <row r="5" customFormat="false" ht="15" hidden="false" customHeight="false" outlineLevel="0" collapsed="false">
      <c r="A5" s="4" t="s">
        <v>121</v>
      </c>
      <c r="B5" s="24" t="n">
        <f aca="false">Допущения!$B$27</f>
        <v>100</v>
      </c>
    </row>
    <row r="6" customFormat="false" ht="15" hidden="false" customHeight="false" outlineLevel="0" collapsed="false">
      <c r="A6" s="4" t="s">
        <v>122</v>
      </c>
      <c r="B6" s="13" t="n">
        <f aca="false">Допущения!$B$26</f>
        <v>3</v>
      </c>
    </row>
    <row r="7" customFormat="false" ht="15" hidden="false" customHeight="false" outlineLevel="0" collapsed="false">
      <c r="A7" s="4" t="s">
        <v>123</v>
      </c>
      <c r="B7" s="14" t="n">
        <f aca="false">B5*B6</f>
        <v>300</v>
      </c>
    </row>
    <row r="8" customFormat="false" ht="15" hidden="false" customHeight="false" outlineLevel="0" collapsed="false">
      <c r="A8" s="4" t="s">
        <v>124</v>
      </c>
      <c r="B8" s="14" t="n">
        <f aca="false">B4*Допущения!$B$30</f>
        <v>41.65</v>
      </c>
    </row>
    <row r="9" customFormat="false" ht="15" hidden="false" customHeight="false" outlineLevel="0" collapsed="false">
      <c r="A9" s="4" t="s">
        <v>125</v>
      </c>
      <c r="B9" s="13" t="n">
        <f aca="false">Допущения!$B$31</f>
        <v>50</v>
      </c>
    </row>
    <row r="10" customFormat="false" ht="15" hidden="false" customHeight="false" outlineLevel="0" collapsed="false">
      <c r="A10" s="15" t="s">
        <v>126</v>
      </c>
      <c r="B10" s="22" t="n">
        <f aca="false">B4-B7-B8-B9</f>
        <v>798.35</v>
      </c>
    </row>
    <row r="11" customFormat="false" ht="15" hidden="false" customHeight="false" outlineLevel="0" collapsed="false">
      <c r="A11" s="4" t="s">
        <v>88</v>
      </c>
      <c r="B11" s="11" t="n">
        <f aca="false">B10/B4</f>
        <v>0.670882352941177</v>
      </c>
    </row>
    <row r="12" customFormat="false" ht="15" hidden="false" customHeight="false" outlineLevel="0" collapsed="false">
      <c r="A12" s="4" t="s">
        <v>127</v>
      </c>
      <c r="B12" s="25" t="n">
        <f aca="false">(B4-B8-B9)/B6</f>
        <v>366.116666666667</v>
      </c>
    </row>
    <row r="13" customFormat="false" ht="15" hidden="false" customHeight="true" outlineLevel="0" collapsed="false">
      <c r="A13" s="19" t="s">
        <v>128</v>
      </c>
      <c r="B13" s="19"/>
    </row>
    <row r="14" customFormat="false" ht="15" hidden="false" customHeight="false" outlineLevel="0" collapsed="false">
      <c r="A14" s="19"/>
      <c r="B14" s="19"/>
    </row>
    <row r="15" customFormat="false" ht="15" hidden="false" customHeight="false" outlineLevel="0" collapsed="false">
      <c r="A15" s="19"/>
      <c r="B15" s="19"/>
    </row>
  </sheetData>
  <mergeCells count="2">
    <mergeCell ref="A1:B1"/>
    <mergeCell ref="A13:B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</cols>
  <sheetData>
    <row r="1" customFormat="false" ht="24" hidden="false" customHeight="true" outlineLevel="0" collapsed="false">
      <c r="A1" s="1" t="s">
        <v>129</v>
      </c>
      <c r="B1" s="1"/>
    </row>
    <row r="3" customFormat="false" ht="15" hidden="false" customHeight="false" outlineLevel="0" collapsed="false">
      <c r="A3" s="2" t="s">
        <v>95</v>
      </c>
      <c r="B3" s="2" t="s">
        <v>2</v>
      </c>
    </row>
    <row r="4" customFormat="false" ht="15" hidden="false" customHeight="false" outlineLevel="0" collapsed="false">
      <c r="A4" s="4" t="s">
        <v>130</v>
      </c>
      <c r="B4" s="24" t="n">
        <f aca="false">Допущения!$B$40</f>
        <v>14</v>
      </c>
    </row>
    <row r="5" customFormat="false" ht="15" hidden="false" customHeight="false" outlineLevel="0" collapsed="false">
      <c r="A5" s="4" t="s">
        <v>131</v>
      </c>
      <c r="B5" s="14" t="n">
        <f aca="false">B4*Допущения!$B$7</f>
        <v>111860</v>
      </c>
    </row>
    <row r="6" customFormat="false" ht="15" hidden="false" customHeight="false" outlineLevel="0" collapsed="false">
      <c r="A6" s="4" t="s">
        <v>132</v>
      </c>
      <c r="B6" s="14" t="n">
        <f aca="false">B5*Допущения!$B$13</f>
        <v>55930</v>
      </c>
    </row>
    <row r="7" customFormat="false" ht="15" hidden="false" customHeight="false" outlineLevel="0" collapsed="false">
      <c r="A7" s="4" t="s">
        <v>85</v>
      </c>
      <c r="B7" s="14" t="n">
        <f aca="false">B5*Допущения!$B$30</f>
        <v>3915.1</v>
      </c>
    </row>
    <row r="8" customFormat="false" ht="15" hidden="false" customHeight="false" outlineLevel="0" collapsed="false">
      <c r="A8" s="15" t="s">
        <v>133</v>
      </c>
      <c r="B8" s="22" t="n">
        <f aca="false">B5-B6-B7</f>
        <v>52014.9</v>
      </c>
    </row>
    <row r="9" customFormat="false" ht="15" hidden="false" customHeight="false" outlineLevel="0" collapsed="false">
      <c r="A9" s="4" t="s">
        <v>134</v>
      </c>
      <c r="B9" s="14" t="n">
        <f aca="false">B8/B4</f>
        <v>3715.35</v>
      </c>
    </row>
    <row r="10" customFormat="false" ht="15" hidden="false" customHeight="false" outlineLevel="0" collapsed="false">
      <c r="A10" s="4" t="s">
        <v>135</v>
      </c>
      <c r="B10" s="4" t="str">
        <f aca="false">IF(B6&gt;=Допущения!$B$41,"да","нет — доплата")</f>
        <v>да</v>
      </c>
    </row>
    <row r="11" customFormat="false" ht="15" hidden="false" customHeight="false" outlineLevel="0" collapsed="false">
      <c r="A11" s="4" t="s">
        <v>136</v>
      </c>
      <c r="B11" s="14" t="n">
        <f aca="false">MAX(0,Допущения!$B$41-B6)</f>
        <v>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</cols>
  <sheetData>
    <row r="1" customFormat="false" ht="24" hidden="false" customHeight="true" outlineLevel="0" collapsed="false">
      <c r="A1" s="1" t="s">
        <v>137</v>
      </c>
      <c r="B1" s="1"/>
    </row>
    <row r="3" customFormat="false" ht="15" hidden="false" customHeight="false" outlineLevel="0" collapsed="false">
      <c r="A3" s="2" t="s">
        <v>95</v>
      </c>
      <c r="B3" s="2" t="s">
        <v>2</v>
      </c>
    </row>
    <row r="4" customFormat="false" ht="15" hidden="false" customHeight="false" outlineLevel="0" collapsed="false">
      <c r="A4" s="3" t="s">
        <v>138</v>
      </c>
      <c r="B4" s="3"/>
    </row>
    <row r="5" customFormat="false" ht="15" hidden="false" customHeight="false" outlineLevel="0" collapsed="false">
      <c r="A5" s="4" t="s">
        <v>139</v>
      </c>
      <c r="B5" s="13" t="n">
        <f aca="false">Допущения!$B$7</f>
        <v>7990</v>
      </c>
    </row>
    <row r="6" customFormat="false" ht="15" hidden="false" customHeight="false" outlineLevel="0" collapsed="false">
      <c r="A6" s="4" t="s">
        <v>140</v>
      </c>
      <c r="B6" s="26" t="n">
        <v>12</v>
      </c>
    </row>
    <row r="7" customFormat="false" ht="15" hidden="false" customHeight="false" outlineLevel="0" collapsed="false">
      <c r="A7" s="4" t="s">
        <v>141</v>
      </c>
      <c r="B7" s="14" t="n">
        <f aca="false">B5-B5*Допущения!$B$30</f>
        <v>7710.35</v>
      </c>
    </row>
    <row r="8" customFormat="false" ht="15" hidden="false" customHeight="false" outlineLevel="0" collapsed="false">
      <c r="A8" s="15" t="s">
        <v>142</v>
      </c>
      <c r="B8" s="22" t="n">
        <f aca="false">B6*B7-Допущения!$B$32</f>
        <v>87924.2</v>
      </c>
    </row>
    <row r="9" customFormat="false" ht="15" hidden="false" customHeight="false" outlineLevel="0" collapsed="false">
      <c r="A9" s="3" t="s">
        <v>143</v>
      </c>
      <c r="B9" s="3"/>
    </row>
    <row r="10" customFormat="false" ht="15" hidden="false" customHeight="false" outlineLevel="0" collapsed="false">
      <c r="A10" s="4" t="s">
        <v>144</v>
      </c>
      <c r="B10" s="13" t="n">
        <f aca="false">Допущения!$B$42</f>
        <v>75000</v>
      </c>
    </row>
    <row r="11" customFormat="false" ht="15" hidden="false" customHeight="false" outlineLevel="0" collapsed="false">
      <c r="A11" s="4" t="s">
        <v>145</v>
      </c>
      <c r="B11" s="24" t="n">
        <f aca="false">Допущения!$B$40</f>
        <v>14</v>
      </c>
    </row>
    <row r="12" customFormat="false" ht="15" hidden="false" customHeight="false" outlineLevel="0" collapsed="false">
      <c r="A12" s="4" t="s">
        <v>71</v>
      </c>
      <c r="B12" s="13" t="n">
        <f aca="false">Допущения!$B$43</f>
        <v>3500</v>
      </c>
    </row>
    <row r="13" customFormat="false" ht="15" hidden="false" customHeight="false" outlineLevel="0" collapsed="false">
      <c r="A13" s="4" t="s">
        <v>146</v>
      </c>
      <c r="B13" s="14" t="n">
        <f aca="false">B10/B11</f>
        <v>5357.14285714286</v>
      </c>
    </row>
    <row r="14" customFormat="false" ht="15" hidden="false" customHeight="false" outlineLevel="0" collapsed="false">
      <c r="A14" s="4" t="s">
        <v>125</v>
      </c>
      <c r="B14" s="13" t="n">
        <f aca="false">Допущения!$B$31</f>
        <v>50</v>
      </c>
    </row>
    <row r="15" customFormat="false" ht="15" hidden="false" customHeight="false" outlineLevel="0" collapsed="false">
      <c r="A15" s="15" t="s">
        <v>147</v>
      </c>
      <c r="B15" s="22" t="n">
        <f aca="false">(B13+B12+B14)/(1-Допущения!$B$30)</f>
        <v>9230.19985196151</v>
      </c>
    </row>
    <row r="16" customFormat="false" ht="15" hidden="false" customHeight="false" outlineLevel="0" collapsed="false">
      <c r="A16" s="4" t="s">
        <v>148</v>
      </c>
      <c r="B16" s="14" t="n">
        <f aca="false">B15-B5</f>
        <v>1240.19985196151</v>
      </c>
    </row>
    <row r="17" customFormat="false" ht="15" hidden="false" customHeight="false" outlineLevel="0" collapsed="false">
      <c r="A17" s="4" t="s">
        <v>149</v>
      </c>
      <c r="B17" s="11" t="n">
        <f aca="false">B16/B5</f>
        <v>0.155219005251753</v>
      </c>
    </row>
  </sheetData>
  <mergeCells count="3">
    <mergeCell ref="A1:B1"/>
    <mergeCell ref="A4:B4"/>
    <mergeCell ref="A9:B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6" min="3" style="0" width="10"/>
    <col collapsed="false" customWidth="true" hidden="false" outlineLevel="0" max="8" min="7" style="0" width="14"/>
  </cols>
  <sheetData>
    <row r="1" customFormat="false" ht="24" hidden="false" customHeight="true" outlineLevel="0" collapsed="false">
      <c r="A1" s="1" t="s">
        <v>150</v>
      </c>
      <c r="B1" s="1"/>
      <c r="C1" s="1"/>
      <c r="D1" s="1"/>
      <c r="E1" s="1"/>
      <c r="F1" s="1"/>
      <c r="G1" s="1"/>
      <c r="H1" s="1"/>
    </row>
    <row r="2" customFormat="false" ht="26.85" hidden="false" customHeight="false" outlineLevel="0" collapsed="false">
      <c r="A2" s="2" t="s">
        <v>151</v>
      </c>
      <c r="B2" s="2" t="s">
        <v>152</v>
      </c>
      <c r="C2" s="2" t="s">
        <v>61</v>
      </c>
      <c r="D2" s="2" t="s">
        <v>153</v>
      </c>
      <c r="E2" s="2" t="s">
        <v>154</v>
      </c>
      <c r="F2" s="2" t="s">
        <v>155</v>
      </c>
      <c r="G2" s="2" t="s">
        <v>156</v>
      </c>
      <c r="H2" s="2" t="s">
        <v>157</v>
      </c>
    </row>
    <row r="3" customFormat="false" ht="15" hidden="false" customHeight="false" outlineLevel="0" collapsed="false">
      <c r="A3" s="4" t="s">
        <v>158</v>
      </c>
      <c r="B3" s="5" t="n">
        <v>60000</v>
      </c>
      <c r="C3" s="5" t="n">
        <v>350</v>
      </c>
      <c r="D3" s="25" t="n">
        <f aca="false">IF(C3=0,0,B3/C3)</f>
        <v>171.428571428571</v>
      </c>
      <c r="E3" s="25" t="n">
        <f aca="false">D3*Допущения!$B$34</f>
        <v>68.5714285714286</v>
      </c>
      <c r="F3" s="25" t="n">
        <f aca="false">E3*Допущения!$B$35</f>
        <v>20.5714285714286</v>
      </c>
      <c r="G3" s="14" t="n">
        <f aca="false">B3*0.03</f>
        <v>1800</v>
      </c>
      <c r="H3" s="14" t="n">
        <f aca="false">B3+G3</f>
        <v>61800</v>
      </c>
    </row>
    <row r="4" customFormat="false" ht="15" hidden="false" customHeight="false" outlineLevel="0" collapsed="false">
      <c r="A4" s="4" t="s">
        <v>159</v>
      </c>
      <c r="B4" s="5" t="n">
        <v>40000</v>
      </c>
      <c r="C4" s="5" t="n">
        <v>450</v>
      </c>
      <c r="D4" s="25" t="n">
        <f aca="false">IF(C4=0,0,B4/C4)</f>
        <v>88.8888888888889</v>
      </c>
      <c r="E4" s="25" t="n">
        <f aca="false">D4*Допущения!$B$34</f>
        <v>35.5555555555556</v>
      </c>
      <c r="F4" s="25" t="n">
        <f aca="false">E4*Допущения!$B$35</f>
        <v>10.6666666666667</v>
      </c>
      <c r="G4" s="14" t="n">
        <f aca="false">B4*0.03</f>
        <v>1200</v>
      </c>
      <c r="H4" s="14" t="n">
        <f aca="false">B4+G4</f>
        <v>41200</v>
      </c>
    </row>
    <row r="5" customFormat="false" ht="15" hidden="false" customHeight="false" outlineLevel="0" collapsed="false">
      <c r="A5" s="4" t="s">
        <v>160</v>
      </c>
      <c r="B5" s="5" t="n">
        <v>20000</v>
      </c>
      <c r="C5" s="5" t="n">
        <v>400</v>
      </c>
      <c r="D5" s="25" t="n">
        <f aca="false">IF(C5=0,0,B5/C5)</f>
        <v>50</v>
      </c>
      <c r="E5" s="25" t="n">
        <f aca="false">D5*Допущения!$B$34</f>
        <v>20</v>
      </c>
      <c r="F5" s="25" t="n">
        <f aca="false">E5*Допущения!$B$35</f>
        <v>6</v>
      </c>
      <c r="G5" s="14" t="n">
        <f aca="false">B5*0.03</f>
        <v>600</v>
      </c>
      <c r="H5" s="14" t="n">
        <f aca="false">B5+G5</f>
        <v>20600</v>
      </c>
    </row>
    <row r="6" customFormat="false" ht="15" hidden="false" customHeight="false" outlineLevel="0" collapsed="false">
      <c r="A6" s="4" t="s">
        <v>161</v>
      </c>
      <c r="B6" s="5" t="n">
        <v>15000</v>
      </c>
      <c r="C6" s="5" t="n">
        <v>250</v>
      </c>
      <c r="D6" s="25" t="n">
        <f aca="false">IF(C6=0,0,B6/C6)</f>
        <v>60</v>
      </c>
      <c r="E6" s="25" t="n">
        <f aca="false">D6*Допущения!$B$34</f>
        <v>24</v>
      </c>
      <c r="F6" s="25" t="n">
        <f aca="false">E6*Допущения!$B$35</f>
        <v>7.2</v>
      </c>
      <c r="G6" s="14" t="n">
        <f aca="false">B6*0.03</f>
        <v>450</v>
      </c>
      <c r="H6" s="14" t="n">
        <f aca="false">B6+G6</f>
        <v>15450</v>
      </c>
    </row>
    <row r="7" customFormat="false" ht="15" hidden="false" customHeight="false" outlineLevel="0" collapsed="false">
      <c r="A7" s="4" t="s">
        <v>162</v>
      </c>
      <c r="B7" s="5" t="n">
        <v>0</v>
      </c>
      <c r="C7" s="5" t="n">
        <v>0</v>
      </c>
      <c r="D7" s="25" t="n">
        <f aca="false">IF(C7=0,0,B7/C7)</f>
        <v>0</v>
      </c>
      <c r="E7" s="25" t="n">
        <f aca="false">D7*Допущения!$B$34</f>
        <v>0</v>
      </c>
      <c r="F7" s="25" t="n">
        <f aca="false">E7*Допущения!$B$35</f>
        <v>0</v>
      </c>
      <c r="G7" s="14" t="n">
        <f aca="false">B7*0.03</f>
        <v>0</v>
      </c>
      <c r="H7" s="14" t="n">
        <f aca="false">B7+G7</f>
        <v>0</v>
      </c>
    </row>
    <row r="8" customFormat="false" ht="15" hidden="false" customHeight="false" outlineLevel="0" collapsed="false">
      <c r="A8" s="15" t="s">
        <v>163</v>
      </c>
      <c r="B8" s="16" t="n">
        <f aca="false">SUM(B3:B7)</f>
        <v>135000</v>
      </c>
      <c r="D8" s="27" t="n">
        <f aca="false">SUM(D3:D7)</f>
        <v>370.31746031746</v>
      </c>
      <c r="E8" s="27" t="n">
        <f aca="false">SUM(E3:E7)</f>
        <v>148.126984126984</v>
      </c>
      <c r="F8" s="27" t="n">
        <f aca="false">SUM(F3:F7)</f>
        <v>44.4380952380952</v>
      </c>
      <c r="G8" s="16" t="n">
        <f aca="false">SUM(G3:G7)</f>
        <v>4050</v>
      </c>
      <c r="H8" s="16" t="n">
        <f aca="false">SUM(H3:H7)</f>
        <v>139050</v>
      </c>
    </row>
    <row r="10" customFormat="false" ht="15" hidden="false" customHeight="false" outlineLevel="0" collapsed="false">
      <c r="A10" s="4" t="s">
        <v>164</v>
      </c>
      <c r="B10" s="14" t="n">
        <f aca="false">IF(F8=0,0,H8/F8)</f>
        <v>3129.07201028718</v>
      </c>
    </row>
    <row r="11" customFormat="false" ht="15" hidden="false" customHeight="false" outlineLevel="0" collapsed="false">
      <c r="A11" s="4" t="s">
        <v>165</v>
      </c>
      <c r="B11" s="27" t="n">
        <f aca="false">F8</f>
        <v>44.4380952380952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9"/>
  </cols>
  <sheetData>
    <row r="1" customFormat="false" ht="24" hidden="false" customHeight="true" outlineLevel="0" collapsed="false">
      <c r="A1" s="1" t="s">
        <v>166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4" t="s">
        <v>102</v>
      </c>
      <c r="B2" s="13" t="n">
        <f aca="false">'CAC-LTV'!B10</f>
        <v>5185</v>
      </c>
    </row>
    <row r="3" customFormat="false" ht="15" hidden="false" customHeight="false" outlineLevel="0" collapsed="false">
      <c r="A3" s="4" t="s">
        <v>167</v>
      </c>
      <c r="B3" s="13" t="n">
        <f aca="false">'CAC-LTV'!B11</f>
        <v>2487.4</v>
      </c>
    </row>
    <row r="4" customFormat="false" ht="15" hidden="false" customHeight="false" outlineLevel="0" collapsed="false">
      <c r="A4" s="4" t="s">
        <v>168</v>
      </c>
      <c r="B4" s="13" t="n">
        <f aca="false">'CAC-LTV'!B8</f>
        <v>7500</v>
      </c>
    </row>
    <row r="5" customFormat="false" ht="15" hidden="false" customHeight="false" outlineLevel="0" collapsed="false">
      <c r="A5" s="4" t="s">
        <v>169</v>
      </c>
      <c r="B5" s="18" t="n">
        <f aca="false">Допущения!$B$45</f>
        <v>0.098</v>
      </c>
    </row>
    <row r="7" customFormat="false" ht="15" hidden="false" customHeight="false" outlineLevel="0" collapsed="false">
      <c r="A7" s="2" t="s">
        <v>95</v>
      </c>
      <c r="B7" s="2" t="s">
        <v>170</v>
      </c>
      <c r="C7" s="2" t="s">
        <v>171</v>
      </c>
      <c r="D7" s="2" t="s">
        <v>172</v>
      </c>
      <c r="E7" s="2" t="s">
        <v>173</v>
      </c>
      <c r="F7" s="2" t="s">
        <v>174</v>
      </c>
      <c r="G7" s="2" t="s">
        <v>175</v>
      </c>
      <c r="H7" s="2" t="s">
        <v>176</v>
      </c>
      <c r="I7" s="2" t="s">
        <v>177</v>
      </c>
      <c r="J7" s="2" t="s">
        <v>178</v>
      </c>
      <c r="K7" s="2" t="s">
        <v>179</v>
      </c>
      <c r="L7" s="2" t="s">
        <v>180</v>
      </c>
      <c r="M7" s="2" t="s">
        <v>181</v>
      </c>
    </row>
    <row r="8" customFormat="false" ht="15" hidden="false" customHeight="false" outlineLevel="0" collapsed="false">
      <c r="A8" s="4" t="s">
        <v>182</v>
      </c>
      <c r="B8" s="10" t="n">
        <v>6</v>
      </c>
      <c r="C8" s="10" t="n">
        <v>10</v>
      </c>
      <c r="D8" s="10" t="n">
        <v>14</v>
      </c>
      <c r="E8" s="10" t="n">
        <v>18</v>
      </c>
      <c r="F8" s="10" t="n">
        <v>22</v>
      </c>
      <c r="G8" s="10" t="n">
        <v>26</v>
      </c>
      <c r="H8" s="10" t="n">
        <v>30</v>
      </c>
      <c r="I8" s="10" t="n">
        <v>34</v>
      </c>
      <c r="J8" s="10" t="n">
        <v>38</v>
      </c>
      <c r="K8" s="10" t="n">
        <v>42</v>
      </c>
      <c r="L8" s="10" t="n">
        <v>46</v>
      </c>
      <c r="M8" s="10" t="n">
        <v>50</v>
      </c>
    </row>
    <row r="9" customFormat="false" ht="15" hidden="false" customHeight="false" outlineLevel="0" collapsed="false">
      <c r="A9" s="4" t="s">
        <v>183</v>
      </c>
      <c r="B9" s="25" t="n">
        <v>0</v>
      </c>
      <c r="C9" s="25" t="n">
        <f aca="false">B11</f>
        <v>6</v>
      </c>
      <c r="D9" s="25" t="n">
        <f aca="false">C11</f>
        <v>15</v>
      </c>
      <c r="E9" s="25" t="n">
        <f aca="false">D11</f>
        <v>28</v>
      </c>
      <c r="F9" s="25" t="n">
        <f aca="false">E11</f>
        <v>43</v>
      </c>
      <c r="G9" s="25" t="n">
        <f aca="false">F11</f>
        <v>61</v>
      </c>
      <c r="H9" s="25" t="n">
        <f aca="false">G11</f>
        <v>81</v>
      </c>
      <c r="I9" s="25" t="n">
        <f aca="false">H11</f>
        <v>103</v>
      </c>
      <c r="J9" s="25" t="n">
        <f aca="false">I11</f>
        <v>127</v>
      </c>
      <c r="K9" s="25" t="n">
        <f aca="false">J11</f>
        <v>153</v>
      </c>
      <c r="L9" s="25" t="n">
        <f aca="false">K11</f>
        <v>180</v>
      </c>
      <c r="M9" s="25" t="n">
        <f aca="false">L11</f>
        <v>208</v>
      </c>
    </row>
    <row r="10" customFormat="false" ht="15" hidden="false" customHeight="false" outlineLevel="0" collapsed="false">
      <c r="A10" s="4" t="s">
        <v>184</v>
      </c>
      <c r="B10" s="25" t="n">
        <f aca="false">ROUND(B9*$B$5,0)</f>
        <v>0</v>
      </c>
      <c r="C10" s="25" t="n">
        <f aca="false">ROUND(C9*$B$5,0)</f>
        <v>1</v>
      </c>
      <c r="D10" s="25" t="n">
        <f aca="false">ROUND(D9*$B$5,0)</f>
        <v>1</v>
      </c>
      <c r="E10" s="25" t="n">
        <f aca="false">ROUND(E9*$B$5,0)</f>
        <v>3</v>
      </c>
      <c r="F10" s="25" t="n">
        <f aca="false">ROUND(F9*$B$5,0)</f>
        <v>4</v>
      </c>
      <c r="G10" s="25" t="n">
        <f aca="false">ROUND(G9*$B$5,0)</f>
        <v>6</v>
      </c>
      <c r="H10" s="25" t="n">
        <f aca="false">ROUND(H9*$B$5,0)</f>
        <v>8</v>
      </c>
      <c r="I10" s="25" t="n">
        <f aca="false">ROUND(I9*$B$5,0)</f>
        <v>10</v>
      </c>
      <c r="J10" s="25" t="n">
        <f aca="false">ROUND(J9*$B$5,0)</f>
        <v>12</v>
      </c>
      <c r="K10" s="25" t="n">
        <f aca="false">ROUND(K9*$B$5,0)</f>
        <v>15</v>
      </c>
      <c r="L10" s="25" t="n">
        <f aca="false">ROUND(L9*$B$5,0)</f>
        <v>18</v>
      </c>
      <c r="M10" s="25" t="n">
        <f aca="false">ROUND(M9*$B$5,0)</f>
        <v>20</v>
      </c>
    </row>
    <row r="11" customFormat="false" ht="15" hidden="false" customHeight="false" outlineLevel="0" collapsed="false">
      <c r="A11" s="4" t="s">
        <v>185</v>
      </c>
      <c r="B11" s="27" t="n">
        <f aca="false">B9+B8-B10</f>
        <v>6</v>
      </c>
      <c r="C11" s="27" t="n">
        <f aca="false">C9+C8-C10</f>
        <v>15</v>
      </c>
      <c r="D11" s="27" t="n">
        <f aca="false">D9+D8-D10</f>
        <v>28</v>
      </c>
      <c r="E11" s="27" t="n">
        <f aca="false">E9+E8-E10</f>
        <v>43</v>
      </c>
      <c r="F11" s="27" t="n">
        <f aca="false">F9+F8-F10</f>
        <v>61</v>
      </c>
      <c r="G11" s="27" t="n">
        <f aca="false">G9+G8-G10</f>
        <v>81</v>
      </c>
      <c r="H11" s="27" t="n">
        <f aca="false">H9+H8-H10</f>
        <v>103</v>
      </c>
      <c r="I11" s="27" t="n">
        <f aca="false">I9+I8-I10</f>
        <v>127</v>
      </c>
      <c r="J11" s="27" t="n">
        <f aca="false">J9+J8-J10</f>
        <v>153</v>
      </c>
      <c r="K11" s="27" t="n">
        <f aca="false">K9+K8-K10</f>
        <v>180</v>
      </c>
      <c r="L11" s="27" t="n">
        <f aca="false">L9+L8-L10</f>
        <v>208</v>
      </c>
      <c r="M11" s="27" t="n">
        <f aca="false">M9+M8-M10</f>
        <v>238</v>
      </c>
    </row>
    <row r="12" customFormat="false" ht="15" hidden="false" customHeight="false" outlineLevel="0" collapsed="false">
      <c r="A12" s="4" t="s">
        <v>186</v>
      </c>
      <c r="B12" s="25" t="n">
        <f aca="false">(B9+B11)/2</f>
        <v>3</v>
      </c>
      <c r="C12" s="25" t="n">
        <f aca="false">(C9+C11)/2</f>
        <v>10.5</v>
      </c>
      <c r="D12" s="25" t="n">
        <f aca="false">(D9+D11)/2</f>
        <v>21.5</v>
      </c>
      <c r="E12" s="25" t="n">
        <f aca="false">(E9+E11)/2</f>
        <v>35.5</v>
      </c>
      <c r="F12" s="25" t="n">
        <f aca="false">(F9+F11)/2</f>
        <v>52</v>
      </c>
      <c r="G12" s="25" t="n">
        <f aca="false">(G9+G11)/2</f>
        <v>71</v>
      </c>
      <c r="H12" s="25" t="n">
        <f aca="false">(H9+H11)/2</f>
        <v>92</v>
      </c>
      <c r="I12" s="25" t="n">
        <f aca="false">(I9+I11)/2</f>
        <v>115</v>
      </c>
      <c r="J12" s="25" t="n">
        <f aca="false">(J9+J11)/2</f>
        <v>140</v>
      </c>
      <c r="K12" s="25" t="n">
        <f aca="false">(K9+K11)/2</f>
        <v>166.5</v>
      </c>
      <c r="L12" s="25" t="n">
        <f aca="false">(L9+L11)/2</f>
        <v>194</v>
      </c>
      <c r="M12" s="25" t="n">
        <f aca="false">(M9+M11)/2</f>
        <v>223</v>
      </c>
    </row>
    <row r="13" customFormat="false" ht="15" hidden="false" customHeight="false" outlineLevel="0" collapsed="false">
      <c r="A13" s="4" t="s">
        <v>187</v>
      </c>
      <c r="B13" s="14" t="n">
        <f aca="false">B12*$B$2</f>
        <v>15555</v>
      </c>
      <c r="C13" s="14" t="n">
        <f aca="false">C12*$B$2</f>
        <v>54442.5</v>
      </c>
      <c r="D13" s="14" t="n">
        <f aca="false">D12*$B$2</f>
        <v>111477.5</v>
      </c>
      <c r="E13" s="14" t="n">
        <f aca="false">E12*$B$2</f>
        <v>184067.5</v>
      </c>
      <c r="F13" s="14" t="n">
        <f aca="false">F12*$B$2</f>
        <v>269620</v>
      </c>
      <c r="G13" s="14" t="n">
        <f aca="false">G12*$B$2</f>
        <v>368135</v>
      </c>
      <c r="H13" s="14" t="n">
        <f aca="false">H12*$B$2</f>
        <v>477020</v>
      </c>
      <c r="I13" s="14" t="n">
        <f aca="false">I12*$B$2</f>
        <v>596275</v>
      </c>
      <c r="J13" s="14" t="n">
        <f aca="false">J12*$B$2</f>
        <v>725900</v>
      </c>
      <c r="K13" s="14" t="n">
        <f aca="false">K12*$B$2</f>
        <v>863302.5</v>
      </c>
      <c r="L13" s="14" t="n">
        <f aca="false">L12*$B$2</f>
        <v>1005890</v>
      </c>
      <c r="M13" s="14" t="n">
        <f aca="false">M12*$B$2</f>
        <v>1156255</v>
      </c>
    </row>
    <row r="14" customFormat="false" ht="15" hidden="false" customHeight="false" outlineLevel="0" collapsed="false">
      <c r="A14" s="4" t="s">
        <v>188</v>
      </c>
      <c r="B14" s="14" t="n">
        <f aca="false">B12*$B$3</f>
        <v>7462.2</v>
      </c>
      <c r="C14" s="14" t="n">
        <f aca="false">C12*$B$3</f>
        <v>26117.7</v>
      </c>
      <c r="D14" s="14" t="n">
        <f aca="false">D12*$B$3</f>
        <v>53479.1</v>
      </c>
      <c r="E14" s="14" t="n">
        <f aca="false">E12*$B$3</f>
        <v>88302.7</v>
      </c>
      <c r="F14" s="14" t="n">
        <f aca="false">F12*$B$3</f>
        <v>129344.8</v>
      </c>
      <c r="G14" s="14" t="n">
        <f aca="false">G12*$B$3</f>
        <v>176605.4</v>
      </c>
      <c r="H14" s="14" t="n">
        <f aca="false">H12*$B$3</f>
        <v>228840.8</v>
      </c>
      <c r="I14" s="14" t="n">
        <f aca="false">I12*$B$3</f>
        <v>286051</v>
      </c>
      <c r="J14" s="14" t="n">
        <f aca="false">J12*$B$3</f>
        <v>348236</v>
      </c>
      <c r="K14" s="14" t="n">
        <f aca="false">K12*$B$3</f>
        <v>414152.1</v>
      </c>
      <c r="L14" s="14" t="n">
        <f aca="false">L12*$B$3</f>
        <v>482555.6</v>
      </c>
      <c r="M14" s="14" t="n">
        <f aca="false">M12*$B$3</f>
        <v>554690.2</v>
      </c>
    </row>
    <row r="15" customFormat="false" ht="15" hidden="false" customHeight="false" outlineLevel="0" collapsed="false">
      <c r="A15" s="4" t="s">
        <v>189</v>
      </c>
      <c r="B15" s="14" t="n">
        <f aca="false">B8*$B$4</f>
        <v>45000</v>
      </c>
      <c r="C15" s="14" t="n">
        <f aca="false">C8*$B$4</f>
        <v>75000</v>
      </c>
      <c r="D15" s="14" t="n">
        <f aca="false">D8*$B$4</f>
        <v>105000</v>
      </c>
      <c r="E15" s="14" t="n">
        <f aca="false">E8*$B$4</f>
        <v>135000</v>
      </c>
      <c r="F15" s="14" t="n">
        <f aca="false">F8*$B$4</f>
        <v>165000</v>
      </c>
      <c r="G15" s="14" t="n">
        <f aca="false">G8*$B$4</f>
        <v>195000</v>
      </c>
      <c r="H15" s="14" t="n">
        <f aca="false">H8*$B$4</f>
        <v>225000</v>
      </c>
      <c r="I15" s="14" t="n">
        <f aca="false">I8*$B$4</f>
        <v>255000</v>
      </c>
      <c r="J15" s="14" t="n">
        <f aca="false">J8*$B$4</f>
        <v>285000</v>
      </c>
      <c r="K15" s="14" t="n">
        <f aca="false">K8*$B$4</f>
        <v>315000</v>
      </c>
      <c r="L15" s="14" t="n">
        <f aca="false">L8*$B$4</f>
        <v>345000</v>
      </c>
      <c r="M15" s="14" t="n">
        <f aca="false">M8*$B$4</f>
        <v>375000</v>
      </c>
    </row>
    <row r="16" customFormat="false" ht="15" hidden="false" customHeight="false" outlineLevel="0" collapsed="false">
      <c r="A16" s="4" t="s">
        <v>190</v>
      </c>
      <c r="B16" s="13" t="n">
        <f aca="false">Допущения!$B$32</f>
        <v>4600</v>
      </c>
      <c r="C16" s="13" t="n">
        <f aca="false">Допущения!$B$32</f>
        <v>4600</v>
      </c>
      <c r="D16" s="13" t="n">
        <f aca="false">Допущения!$B$32</f>
        <v>4600</v>
      </c>
      <c r="E16" s="13" t="n">
        <f aca="false">Допущения!$B$32</f>
        <v>4600</v>
      </c>
      <c r="F16" s="13" t="n">
        <f aca="false">Допущения!$B$32</f>
        <v>4600</v>
      </c>
      <c r="G16" s="13" t="n">
        <f aca="false">Допущения!$B$32</f>
        <v>4600</v>
      </c>
      <c r="H16" s="13" t="n">
        <f aca="false">Допущения!$B$32</f>
        <v>4600</v>
      </c>
      <c r="I16" s="13" t="n">
        <f aca="false">Допущения!$B$32</f>
        <v>4600</v>
      </c>
      <c r="J16" s="13" t="n">
        <f aca="false">Допущения!$B$32</f>
        <v>4600</v>
      </c>
      <c r="K16" s="13" t="n">
        <f aca="false">Допущения!$B$32</f>
        <v>4600</v>
      </c>
      <c r="L16" s="13" t="n">
        <f aca="false">Допущения!$B$32</f>
        <v>4600</v>
      </c>
      <c r="M16" s="13" t="n">
        <f aca="false">Допущения!$B$32</f>
        <v>4600</v>
      </c>
    </row>
    <row r="17" customFormat="false" ht="15" hidden="false" customHeight="false" outlineLevel="0" collapsed="false">
      <c r="A17" s="15" t="s">
        <v>191</v>
      </c>
      <c r="B17" s="16" t="n">
        <f aca="false">B14-B15-B16</f>
        <v>-42137.8</v>
      </c>
      <c r="C17" s="16" t="n">
        <f aca="false">C14-C15-C16</f>
        <v>-53482.3</v>
      </c>
      <c r="D17" s="16" t="n">
        <f aca="false">D14-D15-D16</f>
        <v>-56120.9</v>
      </c>
      <c r="E17" s="16" t="n">
        <f aca="false">E14-E15-E16</f>
        <v>-51297.3</v>
      </c>
      <c r="F17" s="16" t="n">
        <f aca="false">F14-F15-F16</f>
        <v>-40255.2</v>
      </c>
      <c r="G17" s="16" t="n">
        <f aca="false">G14-G15-G16</f>
        <v>-22994.6</v>
      </c>
      <c r="H17" s="16" t="n">
        <f aca="false">H14-H15-H16</f>
        <v>-759.200000000041</v>
      </c>
      <c r="I17" s="16" t="n">
        <f aca="false">I14-I15-I16</f>
        <v>26450.9999999999</v>
      </c>
      <c r="J17" s="16" t="n">
        <f aca="false">J14-J15-J16</f>
        <v>58635.9999999999</v>
      </c>
      <c r="K17" s="16" t="n">
        <f aca="false">K14-K15-K16</f>
        <v>94552.0999999999</v>
      </c>
      <c r="L17" s="16" t="n">
        <f aca="false">L14-L15-L16</f>
        <v>132955.6</v>
      </c>
      <c r="M17" s="16" t="n">
        <f aca="false">M14-M15-M16</f>
        <v>175090.2</v>
      </c>
    </row>
    <row r="18" customFormat="false" ht="15" hidden="false" customHeight="false" outlineLevel="0" collapsed="false">
      <c r="A18" s="15" t="s">
        <v>192</v>
      </c>
      <c r="B18" s="16" t="n">
        <f aca="false">B17</f>
        <v>-42137.8</v>
      </c>
      <c r="C18" s="16" t="n">
        <f aca="false">B18+C17</f>
        <v>-95620.1</v>
      </c>
      <c r="D18" s="16" t="n">
        <f aca="false">C18+D17</f>
        <v>-151741</v>
      </c>
      <c r="E18" s="16" t="n">
        <f aca="false">D18+E17</f>
        <v>-203038.3</v>
      </c>
      <c r="F18" s="16" t="n">
        <f aca="false">E18+F17</f>
        <v>-243293.5</v>
      </c>
      <c r="G18" s="16" t="n">
        <f aca="false">F18+G17</f>
        <v>-266288.1</v>
      </c>
      <c r="H18" s="16" t="n">
        <f aca="false">G18+H17</f>
        <v>-267047.3</v>
      </c>
      <c r="I18" s="16" t="n">
        <f aca="false">H18+I17</f>
        <v>-240596.3</v>
      </c>
      <c r="J18" s="16" t="n">
        <f aca="false">I18+J17</f>
        <v>-181960.3</v>
      </c>
      <c r="K18" s="16" t="n">
        <f aca="false">J18+K17</f>
        <v>-87408.2000000004</v>
      </c>
      <c r="L18" s="16" t="n">
        <f aca="false">K18+L17</f>
        <v>45547.3999999996</v>
      </c>
      <c r="M18" s="16" t="n">
        <f aca="false">L18+M17</f>
        <v>220637.6</v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5"/>
  </cols>
  <sheetData>
    <row r="1" customFormat="false" ht="24" hidden="false" customHeight="true" outlineLevel="0" collapsed="false">
      <c r="A1" s="1" t="s">
        <v>193</v>
      </c>
      <c r="B1" s="1"/>
      <c r="C1" s="1"/>
      <c r="D1" s="1"/>
    </row>
    <row r="3" customFormat="false" ht="15" hidden="false" customHeight="false" outlineLevel="0" collapsed="false">
      <c r="A3" s="2" t="s">
        <v>1</v>
      </c>
      <c r="B3" s="2" t="s">
        <v>194</v>
      </c>
      <c r="C3" s="2" t="s">
        <v>195</v>
      </c>
      <c r="D3" s="2" t="s">
        <v>196</v>
      </c>
    </row>
    <row r="4" customFormat="false" ht="15" hidden="false" customHeight="false" outlineLevel="0" collapsed="false">
      <c r="A4" s="3" t="s">
        <v>197</v>
      </c>
      <c r="B4" s="3"/>
      <c r="C4" s="3"/>
      <c r="D4" s="3"/>
    </row>
    <row r="5" customFormat="false" ht="15" hidden="false" customHeight="false" outlineLevel="0" collapsed="false">
      <c r="A5" s="4" t="s">
        <v>61</v>
      </c>
      <c r="B5" s="7" t="n">
        <v>600</v>
      </c>
      <c r="C5" s="7" t="n">
        <v>400</v>
      </c>
      <c r="D5" s="7" t="n">
        <v>280</v>
      </c>
    </row>
    <row r="6" customFormat="false" ht="15" hidden="false" customHeight="false" outlineLevel="0" collapsed="false">
      <c r="A6" s="4" t="s">
        <v>198</v>
      </c>
      <c r="B6" s="9" t="n">
        <v>0.3</v>
      </c>
      <c r="C6" s="9" t="n">
        <v>0.4</v>
      </c>
      <c r="D6" s="9" t="n">
        <v>0.5</v>
      </c>
    </row>
    <row r="7" customFormat="false" ht="15" hidden="false" customHeight="false" outlineLevel="0" collapsed="false">
      <c r="A7" s="4" t="s">
        <v>199</v>
      </c>
      <c r="B7" s="9" t="n">
        <v>0.2</v>
      </c>
      <c r="C7" s="9" t="n">
        <v>0.3</v>
      </c>
      <c r="D7" s="9" t="n">
        <v>0.4</v>
      </c>
    </row>
    <row r="8" customFormat="false" ht="15" hidden="false" customHeight="false" outlineLevel="0" collapsed="false">
      <c r="A8" s="4" t="s">
        <v>200</v>
      </c>
      <c r="B8" s="9" t="n">
        <v>0.13</v>
      </c>
      <c r="C8" s="9" t="n">
        <v>0.098</v>
      </c>
      <c r="D8" s="9" t="n">
        <v>0.07</v>
      </c>
    </row>
    <row r="10" customFormat="false" ht="15" hidden="false" customHeight="false" outlineLevel="0" collapsed="false">
      <c r="A10" s="3" t="s">
        <v>201</v>
      </c>
      <c r="B10" s="3"/>
      <c r="C10" s="3"/>
      <c r="D10" s="3"/>
    </row>
    <row r="11" customFormat="false" ht="15" hidden="false" customHeight="false" outlineLevel="0" collapsed="false">
      <c r="A11" s="4" t="s">
        <v>91</v>
      </c>
      <c r="B11" s="12" t="n">
        <f aca="false">1/B8</f>
        <v>7.69230769230769</v>
      </c>
      <c r="C11" s="12" t="n">
        <f aca="false">1/C8</f>
        <v>10.2040816326531</v>
      </c>
      <c r="D11" s="12" t="n">
        <f aca="false">1/D8</f>
        <v>14.2857142857143</v>
      </c>
    </row>
    <row r="12" customFormat="false" ht="15" hidden="false" customHeight="false" outlineLevel="0" collapsed="false">
      <c r="A12" s="4" t="s">
        <v>202</v>
      </c>
      <c r="B12" s="14" t="n">
        <f aca="false">'CAC-LTV'!$B$11*B11</f>
        <v>19133.8461538462</v>
      </c>
      <c r="C12" s="14" t="n">
        <f aca="false">'CAC-LTV'!$B$11*C11</f>
        <v>25381.6326530612</v>
      </c>
      <c r="D12" s="14" t="n">
        <f aca="false">'CAC-LTV'!$B$11*D11</f>
        <v>35534.2857142857</v>
      </c>
    </row>
    <row r="13" customFormat="false" ht="15" hidden="false" customHeight="false" outlineLevel="0" collapsed="false">
      <c r="A13" s="4" t="s">
        <v>100</v>
      </c>
      <c r="B13" s="14" t="n">
        <f aca="false">(1/(B6*B7))*B5+(1/B7)*Допущения!$B$37+Допущения!$B$38</f>
        <v>15000</v>
      </c>
      <c r="C13" s="14" t="n">
        <f aca="false">(1/(C6*C7))*C5+(1/C7)*Допущения!$B$37+Допущения!$B$38</f>
        <v>7500</v>
      </c>
      <c r="D13" s="14" t="n">
        <f aca="false">(1/(D6*D7))*D5+(1/D7)*Допущения!$B$37+Допущения!$B$38</f>
        <v>5150</v>
      </c>
    </row>
    <row r="14" customFormat="false" ht="15" hidden="false" customHeight="false" outlineLevel="0" collapsed="false">
      <c r="A14" s="15" t="s">
        <v>105</v>
      </c>
      <c r="B14" s="20" t="n">
        <f aca="false">B12/B13</f>
        <v>1.27558974358974</v>
      </c>
      <c r="C14" s="20" t="n">
        <f aca="false">C12/C13</f>
        <v>3.38421768707483</v>
      </c>
      <c r="D14" s="20" t="n">
        <f aca="false">D12/D13</f>
        <v>6.8998613037448</v>
      </c>
    </row>
    <row r="15" customFormat="false" ht="15" hidden="false" customHeight="false" outlineLevel="0" collapsed="false">
      <c r="A15" s="4" t="s">
        <v>203</v>
      </c>
      <c r="B15" s="12" t="n">
        <f aca="false">B13/'CAC-LTV'!$B$11</f>
        <v>6.03039318163544</v>
      </c>
      <c r="C15" s="12" t="n">
        <f aca="false">C13/'CAC-LTV'!$B$11</f>
        <v>3.01519659081772</v>
      </c>
      <c r="D15" s="12" t="n">
        <f aca="false">D13/'CAC-LTV'!$B$11</f>
        <v>2.0704349923615</v>
      </c>
    </row>
  </sheetData>
  <mergeCells count="3">
    <mergeCell ref="A1:D1"/>
    <mergeCell ref="A4:D4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2"/>
    <col collapsed="false" customWidth="true" hidden="false" outlineLevel="0" max="8" min="8" style="0" width="18"/>
  </cols>
  <sheetData>
    <row r="1" customFormat="false" ht="24" hidden="false" customHeight="true" outlineLevel="0" collapsed="false">
      <c r="A1" s="1" t="s">
        <v>204</v>
      </c>
      <c r="B1" s="1"/>
      <c r="C1" s="1"/>
      <c r="D1" s="1"/>
      <c r="E1" s="1"/>
      <c r="F1" s="1"/>
    </row>
    <row r="3" customFormat="false" ht="15" hidden="false" customHeight="true" outlineLevel="0" collapsed="false">
      <c r="A3" s="19" t="s">
        <v>205</v>
      </c>
      <c r="B3" s="19"/>
      <c r="C3" s="19"/>
      <c r="D3" s="19"/>
      <c r="E3" s="19"/>
      <c r="G3" s="4" t="s">
        <v>206</v>
      </c>
      <c r="H3" s="13" t="n">
        <f aca="false">'CAC-LTV'!B12</f>
        <v>29769.6011904762</v>
      </c>
    </row>
    <row r="4" customFormat="false" ht="15" hidden="false" customHeight="false" outlineLevel="0" collapsed="false">
      <c r="A4" s="19"/>
      <c r="B4" s="19"/>
      <c r="C4" s="19"/>
      <c r="D4" s="19"/>
      <c r="E4" s="19"/>
      <c r="G4" s="4" t="s">
        <v>198</v>
      </c>
      <c r="H4" s="18" t="n">
        <f aca="false">Допущения!$B$34</f>
        <v>0.4</v>
      </c>
    </row>
    <row r="6" customFormat="false" ht="15" hidden="false" customHeight="false" outlineLevel="0" collapsed="false">
      <c r="A6" s="28" t="s">
        <v>207</v>
      </c>
      <c r="B6" s="29" t="n">
        <v>300</v>
      </c>
      <c r="C6" s="29" t="n">
        <v>400</v>
      </c>
      <c r="D6" s="29" t="n">
        <v>500</v>
      </c>
      <c r="E6" s="29" t="n">
        <v>600</v>
      </c>
    </row>
    <row r="7" customFormat="false" ht="15" hidden="false" customHeight="false" outlineLevel="0" collapsed="false">
      <c r="A7" s="30" t="n">
        <v>0.2</v>
      </c>
      <c r="B7" s="31" t="n">
        <f aca="false">$H$3/((1/($H$4*$A7))*B$6+(1/$A7)*Допущения!$B$37+Допущения!$B$38)</f>
        <v>3.40224013605442</v>
      </c>
      <c r="C7" s="31" t="n">
        <f aca="false">$H$3/((1/($H$4*$A7))*C$6+(1/$A7)*Допущения!$B$37+Допущения!$B$38)</f>
        <v>2.97696011904762</v>
      </c>
      <c r="D7" s="31" t="n">
        <f aca="false">$H$3/((1/($H$4*$A7))*D$6+(1/$A7)*Допущения!$B$37+Допущения!$B$38)</f>
        <v>2.64618677248677</v>
      </c>
      <c r="E7" s="31" t="n">
        <f aca="false">$H$3/((1/($H$4*$A7))*E$6+(1/$A7)*Допущения!$B$37+Допущения!$B$38)</f>
        <v>2.3815680952381</v>
      </c>
    </row>
    <row r="8" customFormat="false" ht="15" hidden="false" customHeight="false" outlineLevel="0" collapsed="false">
      <c r="A8" s="30" t="n">
        <v>0.25</v>
      </c>
      <c r="B8" s="31" t="n">
        <f aca="false">$H$3/((1/($H$4*$A8))*B$6+(1/$A8)*Допущения!$B$37+Допущения!$B$38)</f>
        <v>3.96928015873016</v>
      </c>
      <c r="C8" s="31" t="n">
        <f aca="false">$H$3/((1/($H$4*$A8))*C$6+(1/$A8)*Допущения!$B$37+Допущения!$B$38)</f>
        <v>3.50230602240896</v>
      </c>
      <c r="D8" s="31" t="n">
        <f aca="false">$H$3/((1/($H$4*$A8))*D$6+(1/$A8)*Допущения!$B$37+Допущения!$B$38)</f>
        <v>3.13364223057644</v>
      </c>
      <c r="E8" s="31" t="n">
        <f aca="false">$H$3/((1/($H$4*$A8))*E$6+(1/$A8)*Допущения!$B$37+Допущения!$B$38)</f>
        <v>2.83520011337869</v>
      </c>
    </row>
    <row r="9" customFormat="false" ht="15" hidden="false" customHeight="false" outlineLevel="0" collapsed="false">
      <c r="A9" s="30" t="n">
        <v>0.3</v>
      </c>
      <c r="B9" s="31" t="n">
        <f aca="false">$H$3/((1/($H$4*$A9))*B$6+(1/$A9)*Допущения!$B$37+Допущения!$B$38)</f>
        <v>4.46544017857143</v>
      </c>
      <c r="C9" s="31" t="n">
        <f aca="false">$H$3/((1/($H$4*$A9))*C$6+(1/$A9)*Допущения!$B$37+Допущения!$B$38)</f>
        <v>3.96928015873016</v>
      </c>
      <c r="D9" s="31" t="n">
        <f aca="false">$H$3/((1/($H$4*$A9))*D$6+(1/$A9)*Допущения!$B$37+Допущения!$B$38)</f>
        <v>3.57235214285714</v>
      </c>
      <c r="E9" s="31" t="n">
        <f aca="false">$H$3/((1/($H$4*$A9))*E$6+(1/$A9)*Допущения!$B$37+Допущения!$B$38)</f>
        <v>3.24759285714286</v>
      </c>
    </row>
    <row r="10" customFormat="false" ht="15" hidden="false" customHeight="false" outlineLevel="0" collapsed="false">
      <c r="A10" s="30" t="n">
        <v>0.35</v>
      </c>
      <c r="B10" s="31" t="n">
        <f aca="false">$H$3/((1/($H$4*$A10))*B$6+(1/$A10)*Допущения!$B$37+Допущения!$B$38)</f>
        <v>4.90322843137255</v>
      </c>
      <c r="C10" s="31" t="n">
        <f aca="false">$H$3/((1/($H$4*$A10))*C$6+(1/$A10)*Допущения!$B$37+Допущения!$B$38)</f>
        <v>4.38709912280702</v>
      </c>
      <c r="D10" s="31" t="n">
        <f aca="false">$H$3/((1/($H$4*$A10))*D$6+(1/$A10)*Допущения!$B$37+Допущения!$B$38)</f>
        <v>3.96928015873016</v>
      </c>
      <c r="E10" s="31" t="n">
        <f aca="false">$H$3/((1/($H$4*$A10))*E$6+(1/$A10)*Допущения!$B$37+Допущения!$B$38)</f>
        <v>3.62412536231884</v>
      </c>
    </row>
    <row r="11" customFormat="false" ht="15" hidden="false" customHeight="false" outlineLevel="0" collapsed="false">
      <c r="A11" s="30" t="n">
        <v>0.4</v>
      </c>
      <c r="B11" s="31" t="n">
        <f aca="false">$H$3/((1/($H$4*$A11))*B$6+(1/$A11)*Допущения!$B$37+Допущения!$B$38)</f>
        <v>5.29237354497355</v>
      </c>
      <c r="C11" s="31" t="n">
        <f aca="false">$H$3/((1/($H$4*$A11))*C$6+(1/$A11)*Допущения!$B$37+Допущения!$B$38)</f>
        <v>4.76313619047619</v>
      </c>
      <c r="D11" s="31" t="n">
        <f aca="false">$H$3/((1/($H$4*$A11))*D$6+(1/$A11)*Допущения!$B$37+Допущения!$B$38)</f>
        <v>4.33012380952381</v>
      </c>
      <c r="E11" s="31" t="n">
        <f aca="false">$H$3/((1/($H$4*$A11))*E$6+(1/$A11)*Допущения!$B$37+Допущения!$B$38)</f>
        <v>3.96928015873016</v>
      </c>
    </row>
  </sheetData>
  <mergeCells count="2">
    <mergeCell ref="A1:F1"/>
    <mergeCell ref="A3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8"/>
  </cols>
  <sheetData>
    <row r="1" customFormat="false" ht="24" hidden="false" customHeight="true" outlineLevel="0" collapsed="false">
      <c r="A1" s="1" t="s">
        <v>208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4" t="s">
        <v>209</v>
      </c>
      <c r="B3" s="26" t="n">
        <v>100</v>
      </c>
    </row>
    <row r="4" customFormat="false" ht="15" hidden="false" customHeight="false" outlineLevel="0" collapsed="false">
      <c r="A4" s="4" t="s">
        <v>169</v>
      </c>
      <c r="B4" s="18" t="n">
        <f aca="false">Допущения!$B$45</f>
        <v>0.098</v>
      </c>
    </row>
    <row r="5" customFormat="false" ht="15" hidden="false" customHeight="false" outlineLevel="0" collapsed="false">
      <c r="A5" s="4" t="s">
        <v>126</v>
      </c>
      <c r="B5" s="13" t="n">
        <f aca="false">'CAC-LTV'!B11</f>
        <v>2487.4</v>
      </c>
    </row>
    <row r="7" customFormat="false" ht="15" hidden="false" customHeight="false" outlineLevel="0" collapsed="false">
      <c r="A7" s="2" t="s">
        <v>210</v>
      </c>
      <c r="B7" s="2" t="s">
        <v>211</v>
      </c>
      <c r="C7" s="2" t="s">
        <v>184</v>
      </c>
      <c r="D7" s="2" t="s">
        <v>212</v>
      </c>
      <c r="E7" s="2" t="s">
        <v>213</v>
      </c>
      <c r="F7" s="2" t="s">
        <v>214</v>
      </c>
    </row>
    <row r="8" customFormat="false" ht="15" hidden="false" customHeight="false" outlineLevel="0" collapsed="false">
      <c r="A8" s="25" t="n">
        <v>1</v>
      </c>
      <c r="B8" s="25" t="n">
        <f aca="false">$B$3</f>
        <v>100</v>
      </c>
      <c r="C8" s="25" t="n">
        <f aca="false">B8*$B$4</f>
        <v>9.8</v>
      </c>
      <c r="D8" s="25" t="n">
        <f aca="false">B8-C8</f>
        <v>90.2</v>
      </c>
      <c r="E8" s="14" t="n">
        <f aca="false">(B8+D8)/2*$B$5</f>
        <v>236551.74</v>
      </c>
      <c r="F8" s="14" t="n">
        <f aca="false">E8</f>
        <v>236551.74</v>
      </c>
    </row>
    <row r="9" customFormat="false" ht="15" hidden="false" customHeight="false" outlineLevel="0" collapsed="false">
      <c r="A9" s="25" t="n">
        <v>2</v>
      </c>
      <c r="B9" s="25" t="n">
        <f aca="false">D8</f>
        <v>90.2</v>
      </c>
      <c r="C9" s="25" t="n">
        <f aca="false">B9*$B$4</f>
        <v>8.8396</v>
      </c>
      <c r="D9" s="25" t="n">
        <f aca="false">B9-C9</f>
        <v>81.3604</v>
      </c>
      <c r="E9" s="14" t="n">
        <f aca="false">(B9+D9)/2*$B$5</f>
        <v>213369.66948</v>
      </c>
      <c r="F9" s="14" t="n">
        <f aca="false">F8+E9</f>
        <v>449921.40948</v>
      </c>
    </row>
    <row r="10" customFormat="false" ht="15" hidden="false" customHeight="false" outlineLevel="0" collapsed="false">
      <c r="A10" s="25" t="n">
        <v>3</v>
      </c>
      <c r="B10" s="25" t="n">
        <f aca="false">D9</f>
        <v>81.3604</v>
      </c>
      <c r="C10" s="25" t="n">
        <f aca="false">B10*$B$4</f>
        <v>7.9733192</v>
      </c>
      <c r="D10" s="25" t="n">
        <f aca="false">B10-C10</f>
        <v>73.3870808</v>
      </c>
      <c r="E10" s="14" t="n">
        <f aca="false">(B10+D10)/2*$B$5</f>
        <v>192459.44187096</v>
      </c>
      <c r="F10" s="14" t="n">
        <f aca="false">F9+E10</f>
        <v>642380.85135096</v>
      </c>
    </row>
    <row r="11" customFormat="false" ht="15" hidden="false" customHeight="false" outlineLevel="0" collapsed="false">
      <c r="A11" s="25" t="n">
        <v>4</v>
      </c>
      <c r="B11" s="25" t="n">
        <f aca="false">D10</f>
        <v>73.3870808</v>
      </c>
      <c r="C11" s="25" t="n">
        <f aca="false">B11*$B$4</f>
        <v>7.1919339184</v>
      </c>
      <c r="D11" s="25" t="n">
        <f aca="false">B11-C11</f>
        <v>66.1951468816</v>
      </c>
      <c r="E11" s="14" t="n">
        <f aca="false">(B11+D11)/2*$B$5</f>
        <v>173598.416567606</v>
      </c>
      <c r="F11" s="14" t="n">
        <f aca="false">F10+E11</f>
        <v>815979.267918566</v>
      </c>
    </row>
    <row r="12" customFormat="false" ht="15" hidden="false" customHeight="false" outlineLevel="0" collapsed="false">
      <c r="A12" s="25" t="n">
        <v>5</v>
      </c>
      <c r="B12" s="25" t="n">
        <f aca="false">D11</f>
        <v>66.1951468816</v>
      </c>
      <c r="C12" s="25" t="n">
        <f aca="false">B12*$B$4</f>
        <v>6.4871243943968</v>
      </c>
      <c r="D12" s="25" t="n">
        <f aca="false">B12-C12</f>
        <v>59.7080224872032</v>
      </c>
      <c r="E12" s="14" t="n">
        <f aca="false">(B12+D12)/2*$B$5</f>
        <v>156585.771743981</v>
      </c>
      <c r="F12" s="14" t="n">
        <f aca="false">F11+E12</f>
        <v>972565.039662546</v>
      </c>
    </row>
    <row r="13" customFormat="false" ht="15" hidden="false" customHeight="false" outlineLevel="0" collapsed="false">
      <c r="A13" s="25" t="n">
        <v>6</v>
      </c>
      <c r="B13" s="25" t="n">
        <f aca="false">D12</f>
        <v>59.7080224872032</v>
      </c>
      <c r="C13" s="25" t="n">
        <f aca="false">B13*$B$4</f>
        <v>5.85138620374591</v>
      </c>
      <c r="D13" s="25" t="n">
        <f aca="false">B13-C13</f>
        <v>53.8566362834573</v>
      </c>
      <c r="E13" s="14" t="n">
        <f aca="false">(B13+D13)/2*$B$5</f>
        <v>141240.36611307</v>
      </c>
      <c r="F13" s="14" t="n">
        <f aca="false">F12+E13</f>
        <v>1113805.40577562</v>
      </c>
    </row>
    <row r="14" customFormat="false" ht="15" hidden="false" customHeight="false" outlineLevel="0" collapsed="false">
      <c r="A14" s="25" t="n">
        <v>7</v>
      </c>
      <c r="B14" s="25" t="n">
        <f aca="false">D13</f>
        <v>53.8566362834573</v>
      </c>
      <c r="C14" s="25" t="n">
        <f aca="false">B14*$B$4</f>
        <v>5.27795035577881</v>
      </c>
      <c r="D14" s="25" t="n">
        <f aca="false">B14-C14</f>
        <v>48.5786859276785</v>
      </c>
      <c r="E14" s="14" t="n">
        <f aca="false">(B14+D14)/2*$B$5</f>
        <v>127398.81023399</v>
      </c>
      <c r="F14" s="14" t="n">
        <f aca="false">F13+E14</f>
        <v>1241204.21600961</v>
      </c>
    </row>
    <row r="15" customFormat="false" ht="15" hidden="false" customHeight="false" outlineLevel="0" collapsed="false">
      <c r="A15" s="25" t="n">
        <v>8</v>
      </c>
      <c r="B15" s="25" t="n">
        <f aca="false">D14</f>
        <v>48.5786859276785</v>
      </c>
      <c r="C15" s="25" t="n">
        <f aca="false">B15*$B$4</f>
        <v>4.76071122091249</v>
      </c>
      <c r="D15" s="25" t="n">
        <f aca="false">B15-C15</f>
        <v>43.817974706766</v>
      </c>
      <c r="E15" s="14" t="n">
        <f aca="false">(B15+D15)/2*$B$5</f>
        <v>114913.726831059</v>
      </c>
      <c r="F15" s="14" t="n">
        <f aca="false">F14+E15</f>
        <v>1356117.94284066</v>
      </c>
    </row>
    <row r="16" customFormat="false" ht="15" hidden="false" customHeight="false" outlineLevel="0" collapsed="false">
      <c r="A16" s="25" t="n">
        <v>9</v>
      </c>
      <c r="B16" s="25" t="n">
        <f aca="false">D15</f>
        <v>43.817974706766</v>
      </c>
      <c r="C16" s="25" t="n">
        <f aca="false">B16*$B$4</f>
        <v>4.29416152126307</v>
      </c>
      <c r="D16" s="25" t="n">
        <f aca="false">B16-C16</f>
        <v>39.5238131855029</v>
      </c>
      <c r="E16" s="14" t="n">
        <f aca="false">(B16+D16)/2*$B$5</f>
        <v>103652.181601615</v>
      </c>
      <c r="F16" s="14" t="n">
        <f aca="false">F15+E16</f>
        <v>1459770.12444228</v>
      </c>
    </row>
    <row r="17" customFormat="false" ht="15" hidden="false" customHeight="false" outlineLevel="0" collapsed="false">
      <c r="A17" s="25" t="n">
        <v>10</v>
      </c>
      <c r="B17" s="25" t="n">
        <f aca="false">D16</f>
        <v>39.5238131855029</v>
      </c>
      <c r="C17" s="25" t="n">
        <f aca="false">B17*$B$4</f>
        <v>3.87333369217929</v>
      </c>
      <c r="D17" s="25" t="n">
        <f aca="false">B17-C17</f>
        <v>35.6504794933236</v>
      </c>
      <c r="E17" s="14" t="n">
        <f aca="false">(B17+D17)/2*$B$5</f>
        <v>93494.2678046566</v>
      </c>
      <c r="F17" s="14" t="n">
        <f aca="false">F16+E17</f>
        <v>1553264.39224694</v>
      </c>
    </row>
    <row r="18" customFormat="false" ht="15" hidden="false" customHeight="false" outlineLevel="0" collapsed="false">
      <c r="A18" s="25" t="n">
        <v>11</v>
      </c>
      <c r="B18" s="25" t="n">
        <f aca="false">D17</f>
        <v>35.6504794933236</v>
      </c>
      <c r="C18" s="25" t="n">
        <f aca="false">B18*$B$4</f>
        <v>3.49374699034572</v>
      </c>
      <c r="D18" s="25" t="n">
        <f aca="false">B18-C18</f>
        <v>32.1567325029779</v>
      </c>
      <c r="E18" s="14" t="n">
        <f aca="false">(B18+D18)/2*$B$5</f>
        <v>84331.8295598002</v>
      </c>
      <c r="F18" s="14" t="n">
        <f aca="false">F17+E18</f>
        <v>1637596.22180674</v>
      </c>
    </row>
    <row r="19" customFormat="false" ht="15" hidden="false" customHeight="false" outlineLevel="0" collapsed="false">
      <c r="A19" s="25" t="n">
        <v>12</v>
      </c>
      <c r="B19" s="25" t="n">
        <f aca="false">D18</f>
        <v>32.1567325029779</v>
      </c>
      <c r="C19" s="25" t="n">
        <f aca="false">B19*$B$4</f>
        <v>3.15135978529184</v>
      </c>
      <c r="D19" s="25" t="n">
        <f aca="false">B19-C19</f>
        <v>29.0053727176861</v>
      </c>
      <c r="E19" s="14" t="n">
        <f aca="false">(B19+D19)/2*$B$5</f>
        <v>76067.3102629398</v>
      </c>
      <c r="F19" s="14" t="n">
        <f aca="false">F18+E19</f>
        <v>1713663.53206968</v>
      </c>
    </row>
    <row r="21" customFormat="false" ht="15" hidden="false" customHeight="false" outlineLevel="0" collapsed="false">
      <c r="A21" s="15" t="s">
        <v>215</v>
      </c>
      <c r="E21" s="22" t="n">
        <f aca="false">F19/$B$3</f>
        <v>17136.6353206968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</cols>
  <sheetData>
    <row r="1" customFormat="false" ht="24" hidden="false" customHeight="true" outlineLevel="0" collapsed="false">
      <c r="A1" s="1" t="s">
        <v>216</v>
      </c>
      <c r="B1" s="1"/>
    </row>
    <row r="3" customFormat="false" ht="15" hidden="false" customHeight="false" outlineLevel="0" collapsed="false">
      <c r="A3" s="2" t="s">
        <v>95</v>
      </c>
      <c r="B3" s="2" t="s">
        <v>2</v>
      </c>
    </row>
    <row r="4" customFormat="false" ht="15" hidden="false" customHeight="false" outlineLevel="0" collapsed="false">
      <c r="A4" s="4" t="s">
        <v>217</v>
      </c>
      <c r="B4" s="13" t="n">
        <f aca="false">'CAC-LTV'!B11</f>
        <v>2487.4</v>
      </c>
    </row>
    <row r="5" customFormat="false" ht="15" hidden="false" customHeight="false" outlineLevel="0" collapsed="false">
      <c r="A5" s="4" t="s">
        <v>55</v>
      </c>
      <c r="B5" s="13" t="n">
        <f aca="false">Допущения!$B$32</f>
        <v>4600</v>
      </c>
    </row>
    <row r="6" customFormat="false" ht="15" hidden="false" customHeight="false" outlineLevel="0" collapsed="false">
      <c r="A6" s="15" t="s">
        <v>218</v>
      </c>
      <c r="B6" s="32" t="n">
        <f aca="false">ROUNDUP(B5/B4,0)</f>
        <v>2</v>
      </c>
    </row>
    <row r="7" customFormat="false" ht="15" hidden="false" customHeight="false" outlineLevel="0" collapsed="false">
      <c r="A7" s="4" t="s">
        <v>219</v>
      </c>
      <c r="B7" s="13" t="n">
        <f aca="false">Допущения!$B$41</f>
        <v>50000</v>
      </c>
    </row>
    <row r="8" customFormat="false" ht="15" hidden="false" customHeight="false" outlineLevel="0" collapsed="false">
      <c r="A8" s="15" t="s">
        <v>220</v>
      </c>
      <c r="B8" s="32" t="n">
        <f aca="false">ROUNDUP((B5+B7)/B4,0)</f>
        <v>22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2026-06-09T12:08:17Z</dcterms:created>
  <dc:creator>openpyxl</dc:creator>
  <dc:description/>
  <dc:language>en-US</dc:language>
  <cp:lastModifiedBy/>
  <dcterms:modified xsi:type="dcterms:W3CDTF">2026-06-09T12:08:17Z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