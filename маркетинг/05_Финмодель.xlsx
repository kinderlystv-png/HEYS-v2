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d9e6ce35a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опущения" sheetId="1" r:id="R86f5d34937da4d1a"/>
    <x:sheet xmlns:r="http://schemas.openxmlformats.org/officeDocument/2006/relationships" name="Unit-экономика" sheetId="2" r:id="R15b1bbc82b5e49ee"/>
    <x:sheet xmlns:r="http://schemas.openxmlformats.org/officeDocument/2006/relationships" name="CAC-LTV" sheetId="3" r:id="R0a503064d1c449b6"/>
    <x:sheet xmlns:r="http://schemas.openxmlformats.org/officeDocument/2006/relationships" name="Реальность-чек" sheetId="4" r:id="R569549c65c254e17"/>
    <x:sheet xmlns:r="http://schemas.openxmlformats.org/officeDocument/2006/relationships" name="AI-тариф-Solo" sheetId="5" r:id="R11815199508a45b7"/>
    <x:sheet xmlns:r="http://schemas.openxmlformats.org/officeDocument/2006/relationships" name="Кураторы-эконом" sheetId="6" r:id="R679e8bbdb3454805"/>
    <x:sheet xmlns:r="http://schemas.openxmlformats.org/officeDocument/2006/relationships" name="Фазы-цена" sheetId="7" r:id="Ra1c601b919504cd2"/>
    <x:sheet xmlns:r="http://schemas.openxmlformats.org/officeDocument/2006/relationships" name="Бюджет-каналы" sheetId="8" r:id="R56a9c942544b4c58"/>
    <x:sheet xmlns:r="http://schemas.openxmlformats.org/officeDocument/2006/relationships" name="Прогноз-12мес" sheetId="9" r:id="Rdae6359aca134fea"/>
    <x:sheet xmlns:r="http://schemas.openxmlformats.org/officeDocument/2006/relationships" name="Сценарии" sheetId="10" r:id="Rec7a746ece3a4261"/>
    <x:sheet xmlns:r="http://schemas.openxmlformats.org/officeDocument/2006/relationships" name="Чувствительность" sheetId="11" r:id="R8f3f9d90634d48f2"/>
    <x:sheet xmlns:r="http://schemas.openxmlformats.org/officeDocument/2006/relationships" name="Когорты" sheetId="12" r:id="R84a20ecd14984393"/>
    <x:sheet xmlns:r="http://schemas.openxmlformats.org/officeDocument/2006/relationships" name="Break-even" sheetId="13" r:id="Ra295279952704a43"/>
    <x:sheet xmlns:r="http://schemas.openxmlformats.org/officeDocument/2006/relationships" name="Pro Спорт" sheetId="14" r:id="Rd0a2ddd8ca5d44b1"/>
  </x:sheets>
</x:workbook>
</file>

<file path=xl/sharedStrings.xml><?xml version="1.0" encoding="utf-8"?>
<x:sst xmlns:x="http://schemas.openxmlformats.org/spreadsheetml/2006/main">
  <x:si>
    <x:t xml:space="preserve">Параметр</x:t>
  </x:si>
  <x:si>
    <x:t xml:space="preserve">Значение</x:t>
  </x:si>
  <x:si>
    <x:t xml:space="preserve">Ед.</x:t>
  </x:si>
  <x:si>
    <x:t xml:space="preserve">Примечание</x:t>
  </x:si>
  <x:si>
    <x:t xml:space="preserve">ЦЕНЫ, ₽/мес</x:t>
  </x:si>
  <x:si>
    <x:t xml:space="preserve">Цена — Self</x:t>
  </x:si>
  <x:si>
    <x:t xml:space="preserve">₽</x:t>
  </x:si>
  <x:si>
    <x:t xml:space="preserve">Самостоятельный дневник, без AI и куратора (метод. 19/21)</x:t>
  </x:si>
  <x:si>
    <x:t xml:space="preserve">Цена — Solo</x:t>
  </x:si>
  <x:si>
    <x:t xml:space="preserve">АРХИВ — Solo AI: R&amp;D после Ф0 (метод. 19 §7)</x:t>
  </x:si>
  <x:si>
    <x:t xml:space="preserve">Цена — Lite</x:t>
  </x:si>
  <x:si>
    <x:t xml:space="preserve">АРХИВ — Lite: открытый вопрос после Ф0 (метод. 19 §6)</x:t>
  </x:si>
  <x:si>
    <x:t xml:space="preserve">Цена — Pro</x:t>
  </x:si>
  <x:si>
    <x:t xml:space="preserve">Ежедневный куратор (Ф0; в Ф1 выше)</x:t>
  </x:si>
  <x:si>
    <x:t xml:space="preserve">ДОЛЯ КУРАТОРА, % выручки</x:t>
  </x:si>
  <x:si>
    <x:t xml:space="preserve">Доля — Self</x:t>
  </x:si>
  <x:si>
    <x:t xml:space="preserve">%</x:t>
  </x:si>
  <x:si>
    <x:t xml:space="preserve">Нет куратора</x:t>
  </x:si>
  <x:si>
    <x:t xml:space="preserve">Доля — Solo</x:t>
  </x:si>
  <x:si>
    <x:t xml:space="preserve">Доля — Lite</x:t>
  </x:si>
  <x:si>
    <x:t xml:space="preserve">Лёгкий недельный ревью</x:t>
  </x:si>
  <x:si>
    <x:t xml:space="preserve">Доля — Pro</x:t>
  </x:si>
  <x:si>
    <x:t xml:space="preserve">Полное ежедневное ведение</x:t>
  </x:si>
  <x:si>
    <x:t xml:space="preserve">ОТТОК / МЕС</x:t>
  </x:si>
  <x:si>
    <x:t xml:space="preserve">Отток — Self/Solo (self-serve)</x:t>
  </x:si>
  <x:si>
    <x:t xml:space="preserve">Self-serve churn выше кураторского</x:t>
  </x:si>
  <x:si>
    <x:t xml:space="preserve">Отток — Lite</x:t>
  </x:si>
  <x:si>
    <x:t xml:space="preserve">Отток — Pro</x:t>
  </x:si>
  <x:si>
    <x:t xml:space="preserve">Человек удерживает</x:t>
  </x:si>
  <x:si>
    <x:t xml:space="preserve">МИКС ПЛАТЯЩИХ, %</x:t>
  </x:si>
  <x:si>
    <x:t xml:space="preserve">Микс — Self</x:t>
  </x:si>
  <x:si>
    <x:t xml:space="preserve">Оценка Ф0 — заменить фактом</x:t>
  </x:si>
  <x:si>
    <x:t xml:space="preserve">Микс — Lite (архив)</x:t>
  </x:si>
  <x:si>
    <x:t xml:space="preserve">Архив: вес 0 на Ф0</x:t>
  </x:si>
  <x:si>
    <x:t xml:space="preserve">Микс — Pro</x:t>
  </x:si>
  <x:si>
    <x:t xml:space="preserve">Главный оффер Pro-first</x:t>
  </x:si>
  <x:si>
    <x:t xml:space="preserve">Сумма = 100%</x:t>
  </x:si>
  <x:si>
    <x:t xml:space="preserve">AI-РАСХОД</x:t>
  </x:si>
  <x:si>
    <x:t xml:space="preserve">Цена за скан (RF), ₽</x:t>
  </x:si>
  <x:si>
    <x:t xml:space="preserve">Yandex AI Studio / GigaChat</x:t>
  </x:si>
  <x:si>
    <x:t xml:space="preserve">Сканов/мес — платные</x:t>
  </x:si>
  <x:si>
    <x:t xml:space="preserve">шт</x:t>
  </x:si>
  <x:si>
    <x:t xml:space="preserve">~3-4 приёма/день</x:t>
  </x:si>
  <x:si>
    <x:t xml:space="preserve">Сканов/мес — Self</x:t>
  </x:si>
  <x:si>
    <x:t xml:space="preserve">Self без AI (позиция «данные важнее AI»)</x:t>
  </x:si>
  <x:si>
    <x:t xml:space="preserve">ЗАТРАТЫ</x:t>
  </x:si>
  <x:si>
    <x:t xml:space="preserve">Эквайринг</x:t>
  </x:si>
  <x:si>
    <x:t xml:space="preserve">ЮKassa ~3,5%</x:t>
  </x:si>
  <x:si>
    <x:t xml:space="preserve">Инфра на клиента, ₽/мес</x:t>
  </x:si>
  <x:si>
    <x:t xml:space="preserve">Аллокация</x:t>
  </x:si>
  <x:si>
    <x:t xml:space="preserve">Инфра fixed, ₽/мес</x:t>
  </x:si>
  <x:si>
    <x:t xml:space="preserve">Yandex Cloud (бриф)</x:t>
  </x:si>
  <x:si>
    <x:t xml:space="preserve">ВОРОНКА / CAC (бенчмарки)</x:t>
  </x:si>
  <x:si>
    <x:t xml:space="preserve">Лид → триал/рег.</x:t>
  </x:si>
  <x:si>
    <x:t xml:space="preserve">Заменить фактом</x:t>
  </x:si>
  <x:si>
    <x:t xml:space="preserve">Триал → оплата</x:t>
  </x:si>
  <x:si>
    <x:t xml:space="preserve">CPL, ₽</x:t>
  </x:si>
  <x:si>
    <x:t xml:space="preserve">Бонус куратора: активный триал</x:t>
  </x:si>
  <x:si>
    <x:t xml:space="preserve">Бонус куратора: конверсия</x:t>
  </x:si>
  <x:si>
    <x:t xml:space="preserve">ОПЕРАЦИОНКА / ФАЗА 1</x:t>
  </x:si>
  <x:si>
    <x:t xml:space="preserve">Загрузка Pro, клиентов/куратор</x:t>
  </x:si>
  <x:si>
    <x:t xml:space="preserve">Норма (бриф)</x:t>
  </x:si>
  <x:si>
    <x:t xml:space="preserve">Минималка куратора, ₽/мес</x:t>
  </x:si>
  <x:si>
    <x:t xml:space="preserve">Старт; лучше % выручки</x:t>
  </x:si>
  <x:si>
    <x:t xml:space="preserve">Целевая зарплата внешнего куратора, ₽/мес</x:t>
  </x:si>
  <x:si>
    <x:t xml:space="preserve">Для расчёта цены Ф1</x:t>
  </x:si>
  <x:si>
    <x:t xml:space="preserve">Целевая маржа компании/клиент, ₽</x:t>
  </x:si>
  <x:si>
    <x:t xml:space="preserve">ПРОИЗВОДНЫЕ (расчёт)</x:t>
  </x:si>
  <x:si>
    <x:t xml:space="preserve">Отток блендед (по миксу)</x:t>
  </x:si>
  <x:si>
    <x:t xml:space="preserve">Срок жизни блендед, мес</x:t>
  </x:si>
  <x:si>
    <x:t xml:space="preserve">Unit-экономика (на 1 клиента в месяц)</x:t>
  </x:si>
  <x:si>
    <x:t xml:space="preserve">Метрика</x:t>
  </x:si>
  <x:si>
    <x:t xml:space="preserve">Self</x:t>
  </x:si>
  <x:si>
    <x:t xml:space="preserve">Solo (архив)</x:t>
  </x:si>
  <x:si>
    <x:t xml:space="preserve">Lite (архив)</x:t>
  </x:si>
  <x:si>
    <x:t xml:space="preserve">Pro</x:t>
  </x:si>
  <x:si>
    <x:t xml:space="preserve">Цена, ₽/мес</x:t>
  </x:si>
  <x:si>
    <x:t xml:space="preserve">− AI-расход, ₽</x:t>
  </x:si>
  <x:si>
    <x:t xml:space="preserve">− Куратор (доля выручки), ₽</x:t>
  </x:si>
  <x:si>
    <x:t xml:space="preserve">− Эквайринг, ₽</x:t>
  </x:si>
  <x:si>
    <x:t xml:space="preserve">− Инфра/клиент, ₽</x:t>
  </x:si>
  <x:si>
    <x:t xml:space="preserve">Контрибуция, ₽/мес</x:t>
  </x:si>
  <x:si>
    <x:t xml:space="preserve">Контрибуция-маржа, %</x:t>
  </x:si>
  <x:si>
    <x:t xml:space="preserve">Отток/мес</x:t>
  </x:si>
  <x:si>
    <x:t xml:space="preserve">Срок жизни, мес</x:t>
  </x:si>
  <x:si>
    <x:t xml:space="preserve">LTV, ₽</x:t>
  </x:si>
  <x:si>
    <x:t xml:space="preserve">Pro-first Ф0: активная сетка Self/Pro/Pro+ (Self — без AI и куратора). Solo/Lite — архивные гипотезы, вернуться после Ф0 (метод. 19). LTV считается только для платящих.</x:t>
  </x:si>
  <x:si>
    <x:t xml:space="preserve">CAC, LTV и окупаемость (блендед по платящим)</x:t>
  </x:si>
  <x:si>
    <x:t xml:space="preserve">Показатель</x:t>
  </x:si>
  <x:si>
    <x:t xml:space="preserve">Лидов на 1 оплату</x:t>
  </x:si>
  <x:si>
    <x:t xml:space="preserve">Триалов на 1 оплату</x:t>
  </x:si>
  <x:si>
    <x:t xml:space="preserve">Media-CAC, ₽</x:t>
  </x:si>
  <x:si>
    <x:t xml:space="preserve">Стоимость триалов на оплату, ₽</x:t>
  </x:si>
  <x:si>
    <x:t xml:space="preserve">CAC итого, ₽</x:t>
  </x:si>
  <x:si>
    <x:t xml:space="preserve">LTV / контрибуция (блендед по платящим)</x:t>
  </x:si>
  <x:si>
    <x:t xml:space="preserve">Ср. выручка/клиент, ₽</x:t>
  </x:si>
  <x:si>
    <x:t xml:space="preserve">Ср. контрибуция/клиент/мес, ₽</x:t>
  </x:si>
  <x:si>
    <x:t xml:space="preserve">LTV блендед, ₽</x:t>
  </x:si>
  <x:si>
    <x:t xml:space="preserve">LTV : CAC</x:t>
  </x:si>
  <x:si>
    <x:t xml:space="preserve">Окупаемость CAC, мес</x:t>
  </x:si>
  <x:si>
    <x:t xml:space="preserve">Ориентир LTV:CAC ≥ 3,0x. Микс платящих: Self/Pro/Pro+ (Lite — вес 0, архив). Free — вход, не тариф.</x:t>
  </x:si>
  <x:si>
    <x:t xml:space="preserve">Реальность-чек: честный CAC и LTV (кураторские тарифы)</x:t>
  </x:si>
  <x:si>
    <x:t xml:space="preserve">Рабочих недель в месяце</x:t>
  </x:si>
  <x:si>
    <x:t xml:space="preserve">Надбавка к оттоку (если ручная оплата), п.п.</x:t>
  </x:si>
  <x:si>
    <x:t xml:space="preserve">Стоимость недели куратора (Pro), ₽</x:t>
  </x:si>
  <x:si>
    <x:t xml:space="preserve">Реальная стоимость триалов на оплату, ₽</x:t>
  </x:si>
  <x:si>
    <x:t xml:space="preserve">Реальный CAC, ₽ (media + триал-время)</x:t>
  </x:si>
  <x:si>
    <x:t xml:space="preserve">Для сравнения — CAC из модели, ₽</x:t>
  </x:si>
  <x:si>
    <x:t xml:space="preserve">LTV блендед (модель), ₽</x:t>
  </x:si>
  <x:si>
    <x:t xml:space="preserve">Реальный LTV:CAC</x:t>
  </x:si>
  <x:si>
    <x:t xml:space="preserve">Модельный LTV:CAC</x:t>
  </x:si>
  <x:si>
    <x:t xml:space="preserve">Триал = неделя времени куратора, не 500 ₽. Поднимай триал→оплату и удержание — это сильнее дешёвого трафика. Надбавку к оттоку держим 0: в Pro продление ведёт куратор.</x:t>
  </x:si>
  <x:si>
    <x:t xml:space="preserve">Экономика Solo — АРХИВ (Solo AI = R&amp;D после Ф0, метод. 19/20)</x:t>
  </x:si>
  <x:si>
    <x:t xml:space="preserve">Цена Solo, ₽/мес</x:t>
  </x:si>
  <x:si>
    <x:t xml:space="preserve">Сканов/мес</x:t>
  </x:si>
  <x:si>
    <x:t xml:space="preserve">Цена за скан, ₽</x:t>
  </x:si>
  <x:si>
    <x:t xml:space="preserve">AI-расход/мес, ₽</x:t>
  </x:si>
  <x:si>
    <x:t xml:space="preserve">Эквайринг, ₽</x:t>
  </x:si>
  <x:si>
    <x:t xml:space="preserve">Инфра/клиент, ₽</x:t>
  </x:si>
  <x:si>
    <x:t xml:space="preserve">Контрибуция/клиент/мес, ₽</x:t>
  </x:si>
  <x:si>
    <x:t xml:space="preserve">Безубыточный лимит сканов/мес</x:t>
  </x:si>
  <x:si>
    <x:t xml:space="preserve">АРХИВ: Solo не запускается на Ф0 (Pro-first, «данные важнее AI»). Лист сохранён для возврата к гипотезе после Ф0.</x:t>
  </x:si>
  <x:si>
    <x:t xml:space="preserve">Экономика куратора (книга Pro)</x:t>
  </x:si>
  <x:si>
    <x:t xml:space="preserve">Клиентов Pro на куратора</x:t>
  </x:si>
  <x:si>
    <x:t xml:space="preserve">Выручка книги/мес, ₽</x:t>
  </x:si>
  <x:si>
    <x:t xml:space="preserve">− Комп куратора (доля), ₽</x:t>
  </x:si>
  <x:si>
    <x:t xml:space="preserve">Маржа компании с книги/мес, ₽</x:t>
  </x:si>
  <x:si>
    <x:t xml:space="preserve">Маржа на 1 клиента, ₽</x:t>
  </x:si>
  <x:si>
    <x:t xml:space="preserve">Комп куратора ≥ минималки?</x:t>
  </x:si>
  <x:si>
    <x:t xml:space="preserve">Доплата до минималки, ₽</x:t>
  </x:si>
  <x:si>
    <x:t xml:space="preserve">Фазы цены: основатель → внешний куратор</x:t>
  </x:si>
  <x:si>
    <x:t xml:space="preserve">Фаза 0 — основатель ведёт (куратор = 0 ₽ кэша)</x:t>
  </x:si>
  <x:si>
    <x:t xml:space="preserve">Стартовая цена Pro, ₽/мес</x:t>
  </x:si>
  <x:si>
    <x:t xml:space="preserve">Клиентов у основателя</x:t>
  </x:si>
  <x:si>
    <x:t xml:space="preserve">Cash-маржа/клиент, ₽</x:t>
  </x:si>
  <x:si>
    <x:t xml:space="preserve">Месячный кэш при загрузке, ₽</x:t>
  </x:si>
  <x:si>
    <x:t xml:space="preserve">Фаза 1 — внешний куратор</x:t>
  </x:si>
  <x:si>
    <x:t xml:space="preserve">Целевая зарплата куратора/мес, ₽</x:t>
  </x:si>
  <x:si>
    <x:t xml:space="preserve">Полная книга, клиентов</x:t>
  </x:si>
  <x:si>
    <x:t xml:space="preserve">Комп куратора/клиент, ₽</x:t>
  </x:si>
  <x:si>
    <x:t xml:space="preserve">Требуемая цена Pro (Ф1), ₽</x:t>
  </x:si>
  <x:si>
    <x:t xml:space="preserve">Шаг цены vs старт, ₽</x:t>
  </x:si>
  <x:si>
    <x:t xml:space="preserve">Шаг цены, %</x:t>
  </x:si>
  <x:si>
    <x:t xml:space="preserve">Бюджет по каналам (иллюстративный месяц)</x:t>
  </x:si>
  <x:si>
    <x:t xml:space="preserve">Канал</x:t>
  </x:si>
  <x:si>
    <x:t xml:space="preserve">Бюджет/мес, ₽</x:t>
  </x:si>
  <x:si>
    <x:t xml:space="preserve">Лиды</x:t>
  </x:si>
  <x:si>
    <x:t xml:space="preserve">Триалы</x:t>
  </x:si>
  <x:si>
    <x:t xml:space="preserve">Оплаты</x:t>
  </x:si>
  <x:si>
    <x:t xml:space="preserve">Сбор 3%, ₽</x:t>
  </x:si>
  <x:si>
    <x:t xml:space="preserve">Итого, ₽</x:t>
  </x:si>
  <x:si>
    <x:t xml:space="preserve">Яндекс.Директ (Поиск)</x:t>
  </x:si>
  <x:si>
    <x:t xml:space="preserve">Telegram посевы/Ads</x:t>
  </x:si>
  <x:si>
    <x:t xml:space="preserve">VK Реклама</x:t>
  </x:si>
  <x:si>
    <x:t xml:space="preserve">РСЯ ретаргет</x:t>
  </x:si>
  <x:si>
    <x:t xml:space="preserve">Контент / органика</x:t>
  </x:si>
  <x:si>
    <x:t xml:space="preserve">ИТОГО</x:t>
  </x:si>
  <x:si>
    <x:t xml:space="preserve">CAC по факту бюджета, ₽</x:t>
  </x:si>
  <x:si>
    <x:t xml:space="preserve">Платящих в месяц</x:t>
  </x:si>
  <x:si>
    <x:t xml:space="preserve">Прогноз на 12 месяцев (блендед по платящим)</x:t>
  </x:si>
  <x:si>
    <x:t xml:space="preserve">Ср. контрибуция/клиент, ₽</x:t>
  </x:si>
  <x:si>
    <x:t xml:space="preserve">CAC, ₽</x:t>
  </x:si>
  <x:si>
    <x:t xml:space="preserve">Отток/мес (блендед)</x:t>
  </x:si>
  <x:si>
    <x:t xml:space="preserve">Мес 1</x:t>
  </x:si>
  <x:si>
    <x:t xml:space="preserve">Мес 2</x:t>
  </x:si>
  <x:si>
    <x:t xml:space="preserve">Мес 3</x:t>
  </x:si>
  <x:si>
    <x:t xml:space="preserve">Мес 4</x:t>
  </x:si>
  <x:si>
    <x:t xml:space="preserve">Мес 5</x:t>
  </x:si>
  <x:si>
    <x:t xml:space="preserve">Мес 6</x:t>
  </x:si>
  <x:si>
    <x:t xml:space="preserve">Мес 7</x:t>
  </x:si>
  <x:si>
    <x:t xml:space="preserve">Мес 8</x:t>
  </x:si>
  <x:si>
    <x:t xml:space="preserve">Мес 9</x:t>
  </x:si>
  <x:si>
    <x:t xml:space="preserve">Мес 10</x:t>
  </x:si>
  <x:si>
    <x:t xml:space="preserve">Мес 11</x:t>
  </x:si>
  <x:si>
    <x:t xml:space="preserve">Мес 12</x:t>
  </x:si>
  <x:si>
    <x:t xml:space="preserve">Новые клиенты (input)</x:t>
  </x:si>
  <x:si>
    <x:t xml:space="preserve">Клиентов на начало</x:t>
  </x:si>
  <x:si>
    <x:t xml:space="preserve">Отток</x:t>
  </x:si>
  <x:si>
    <x:t xml:space="preserve">Клиентов на конец</x:t>
  </x:si>
  <x:si>
    <x:t xml:space="preserve">Средн. клиентов</x:t>
  </x:si>
  <x:si>
    <x:t xml:space="preserve">Выручка, ₽</x:t>
  </x:si>
  <x:si>
    <x:t xml:space="preserve">Валовая контрибуция, ₽</x:t>
  </x:si>
  <x:si>
    <x:t xml:space="preserve">− Привлечение, ₽</x:t>
  </x:si>
  <x:si>
    <x:t xml:space="preserve">− Инфра, ₽</x:t>
  </x:si>
  <x:si>
    <x:t xml:space="preserve">Опер. прибыль/мес, ₽</x:t>
  </x:si>
  <x:si>
    <x:t xml:space="preserve">Кумулятивная прибыль, ₽</x:t>
  </x:si>
  <x:si>
    <x:t xml:space="preserve">Сценарии: пессим / базовый / оптим</x:t>
  </x:si>
  <x:si>
    <x:t xml:space="preserve">Пессим.</x:t>
  </x:si>
  <x:si>
    <x:t xml:space="preserve">Базовый</x:t>
  </x:si>
  <x:si>
    <x:t xml:space="preserve">Оптим.</x:t>
  </x:si>
  <x:si>
    <x:t xml:space="preserve">Драйверы (input)</x:t>
  </x:si>
  <x:si>
    <x:t xml:space="preserve">Лид→триал</x:t>
  </x:si>
  <x:si>
    <x:t xml:space="preserve">Триал→оплата</x:t>
  </x:si>
  <x:si>
    <x:t xml:space="preserve">Отток блендед/мес</x:t>
  </x:si>
  <x:si>
    <x:t xml:space="preserve">Результат</x:t>
  </x:si>
  <x:si>
    <x:t xml:space="preserve">LTV блендед, ₽ (контриб × срок)</x:t>
  </x:si>
  <x:si>
    <x:t xml:space="preserve">Окупаемость, мес</x:t>
  </x:si>
  <x:si>
    <x:t xml:space="preserve">LTV:CAC — строки триал→оплата, столбцы CPL</x:t>
  </x:si>
  <x:si>
    <x:t xml:space="preserve">LTV блендед фикс по базе; лид→триал базовый. Меняем триал→оплату × CPL.</x:t>
  </x:si>
  <x:si>
    <x:t xml:space="preserve">LTV блендед</x:t>
  </x:si>
  <x:si>
    <x:t xml:space="preserve">Триал→оплата \ CPL</x:t>
  </x:si>
  <x:si>
    <x:t xml:space="preserve">Когортное удержание (старт 100 платящих)</x:t>
  </x:si>
  <x:si>
    <x:t xml:space="preserve">Стартовая когорта</x:t>
  </x:si>
  <x:si>
    <x:t xml:space="preserve">Месяц</x:t>
  </x:si>
  <x:si>
    <x:t xml:space="preserve">Активны нач.</x:t>
  </x:si>
  <x:si>
    <x:t xml:space="preserve">Активны кон.</x:t>
  </x:si>
  <x:si>
    <x:t xml:space="preserve">Контриб/мес, ₽</x:t>
  </x:si>
  <x:si>
    <x:t xml:space="preserve">Накопл. ₽</x:t>
  </x:si>
  <x:si>
    <x:t xml:space="preserve">LTV/участник за 12 мес, ₽</x:t>
  </x:si>
  <x:si>
    <x:t xml:space="preserve">Точка безубыточности (операционная)</x:t>
  </x:si>
  <x:si>
    <x:t xml:space="preserve">Контрибуция/клиент/мес (блендед), ₽</x:t>
  </x:si>
  <x:si>
    <x:t xml:space="preserve">Клиентов на покрытие инфры</x:t>
  </x:si>
  <x:si>
    <x:t xml:space="preserve">+ Минималка 1 куратора, ₽</x:t>
  </x:si>
  <x:si>
    <x:t xml:space="preserve">Клиентов на инфру + 1 минималку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</x:si>
</x:sst>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#,##0&quot; ₽&quot;;\(#,##0&quot; ₽)&quot;;\-"/>
    <x:numFmt numFmtId="166" formatCode="0.0%"/>
    <x:numFmt numFmtId="167" formatCode="#,##0;\(#,##0\);\-"/>
    <x:numFmt numFmtId="168" formatCode="0.0"/>
    <x:numFmt numFmtId="169" formatCode="0.0\x"/>
    <x:numFmt numFmtId="170" formatCode="0.00"/>
    <x:numFmt numFmtId="200" formatCode="#,##0 &quot;₽&quot;"/>
    <x:numFmt numFmtId="201" formatCode="0.0 &quot;ч&quot;"/>
  </x:numFmts>
  <x:fonts count="17">
    <x:font>
      <x:sz val="11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FFFFFF"/>
      <x:name val="Arial"/>
    </x:font>
    <x:font>
      <x:b/>
      <x:sz val="11"/>
      <x:color rgb="FF1F4E78"/>
      <x:name val="Arial"/>
    </x:font>
    <x:font>
      <x:sz val="11"/>
      <x:color rgb="FF000000"/>
      <x:name val="Arial"/>
    </x:font>
    <x:font>
      <x:b/>
      <x:sz val="11"/>
      <x:color rgb="FF0000FF"/>
      <x:name val="Arial"/>
    </x:font>
    <x:font>
      <x:i/>
      <x:sz val="11"/>
      <x:color rgb="FF808080"/>
      <x:name val="Arial"/>
    </x:font>
    <x:font>
      <x:sz val="11"/>
      <x:color rgb="FF008000"/>
      <x:name val="Arial"/>
    </x:font>
    <x:font>
      <x:b/>
      <x:sz val="11"/>
      <x:color rgb="FF000000"/>
      <x:name val="Arial"/>
    </x:font>
    <x:font>
      <x:b/>
      <x:sz val="16"/>
      <x:color rgb="FFFFFFFF"/>
      <x:name val="Arial"/>
    </x:font>
    <x:font>
      <x:i/>
      <x:sz val="11"/>
      <x:color rgb="FF607D8B"/>
      <x:name val="Arial"/>
    </x:font>
    <x:font>
      <x:b/>
      <x:sz val="11"/>
      <x:color rgb="FF2F8F83"/>
      <x:name val="Arial"/>
    </x:font>
    <x:font>
      <x:sz val="11"/>
      <x:color rgb="FF263238"/>
      <x:name val="Arial"/>
    </x:font>
    <x:font>
      <x:b/>
      <x:sz val="11"/>
      <x:color rgb="FF263238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FFF00"/>
      </x:patternFill>
    </x:fill>
    <x:fill>
      <x:patternFill patternType="solid">
        <x:fgColor rgb="FF153C4A"/>
      </x:patternFill>
    </x:fill>
    <x:fill>
      <x:patternFill patternType="solid">
        <x:fgColor rgb="FFEAF2F8"/>
      </x:patternFill>
    </x:fill>
    <x:fill>
      <x:patternFill patternType="solid">
        <x:fgColor rgb="FFEAF4F1"/>
      </x:patternFill>
    </x:fill>
    <x:fill>
      <x:patternFill patternType="solid">
        <x:fgColor rgb="FF22577A"/>
      </x:patternFill>
    </x:fill>
    <x:fill>
      <x:patternFill patternType="solid">
        <x:fgColor rgb="FFFFF4CC"/>
      </x:patternFill>
    </x:fill>
    <x:fill>
      <x:patternFill patternType="solid">
        <x:fgColor rgb="FFFDECEC"/>
      </x:patternFill>
    </x:fill>
    <x:fill>
      <x:patternFill patternType="solid">
        <x:fgColor rgb="FFE6F4EA"/>
      </x:patternFill>
    </x:fill>
  </x:fills>
  <x:borders count="6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C7D8D4"/>
      </x:left>
      <x:top style="thin">
        <x:color rgb="FFC7D8D4"/>
      </x:top>
      <x:bottom style="thin">
        <x:color rgb="FFC7D8D4"/>
      </x:bottom>
    </x:border>
    <x:border diagonalUp="0" diagonalDown="0">
      <x:top style="thin">
        <x:color rgb="FFC7D8D4"/>
      </x:top>
      <x:bottom style="thin">
        <x:color rgb="FFC7D8D4"/>
      </x:bottom>
    </x:border>
    <x:border diagonalUp="0" diagonalDown="0">
      <x:right style="thin">
        <x:color rgb="FFC7D8D4"/>
      </x:right>
      <x:top style="thin">
        <x:color rgb="FFC7D8D4"/>
      </x:top>
      <x:bottom style="thin">
        <x:color rgb="FFC7D8D4"/>
      </x:bottom>
    </x:border>
    <x:border diagonalUp="0" diagonalDown="0">
      <x:bottom style="hair">
        <x:color rgb="FFC7D8D4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1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general" vertical="center" wrapText="0"/>
    </x:xf>
    <x:xf numFmtId="164" fontId="5" fillId="2" borderId="1" xfId="0" applyFont="1" applyBorder="1" applyAlignment="1">
      <x:alignment horizontal="center" vertical="center" wrapText="1"/>
    </x:xf>
    <x:xf numFmtId="164" fontId="6" fillId="3" borderId="0" xfId="0" applyFont="1" applyBorder="1" applyAlignment="1">
      <x:alignment horizontal="general" vertical="bottom" wrapText="0"/>
    </x:xf>
    <x:xf numFmtId="164" fontId="7" fillId="0" borderId="0" xfId="0" applyFont="1" applyBorder="0" applyAlignment="1">
      <x:alignment horizontal="general" vertical="bottom" wrapText="0"/>
    </x:xf>
    <x:xf numFmtId="165" fontId="8" fillId="0" borderId="0" xfId="0" applyFont="1" applyBorder="0" applyAlignment="1">
      <x:alignment horizontal="general" vertical="bottom" wrapText="0"/>
    </x:xf>
    <x:xf numFmtId="164" fontId="9" fillId="0" borderId="0" xfId="0" applyFont="1" applyBorder="0" applyAlignment="1">
      <x:alignment horizontal="general" vertical="top" wrapText="1"/>
    </x:xf>
    <x:xf numFmtId="165" fontId="8" fillId="4" borderId="0" xfId="0" applyFont="1" applyBorder="0" applyAlignment="1">
      <x:alignment horizontal="general" vertical="bottom" wrapText="0"/>
    </x:xf>
    <x:xf numFmtId="166" fontId="8" fillId="0" borderId="0" xfId="0" applyFont="1" applyBorder="0" applyAlignment="1">
      <x:alignment horizontal="general" vertical="bottom" wrapText="0"/>
    </x:xf>
    <x:xf numFmtId="166" fontId="8" fillId="4" borderId="0" xfId="0" applyFont="1" applyBorder="0" applyAlignment="1">
      <x:alignment horizontal="general" vertical="bottom" wrapText="0"/>
    </x:xf>
    <x:xf numFmtId="167" fontId="8" fillId="0" borderId="0" xfId="0" applyFont="1" applyBorder="0" applyAlignment="1">
      <x:alignment horizontal="general" vertical="bottom" wrapText="0"/>
    </x:xf>
    <x:xf numFmtId="166" fontId="7" fillId="0" borderId="0" xfId="0" applyFont="1" applyBorder="0" applyAlignment="1">
      <x:alignment horizontal="general" vertical="bottom" wrapText="0"/>
    </x:xf>
    <x:xf numFmtId="168" fontId="7" fillId="0" borderId="0" xfId="0" applyFont="1" applyBorder="0" applyAlignment="1">
      <x:alignment horizontal="general" vertical="bottom" wrapText="0"/>
    </x:xf>
    <x:xf numFmtId="165" fontId="10" fillId="0" borderId="0" xfId="0" applyFont="1" applyBorder="0" applyAlignment="1">
      <x:alignment horizontal="general" vertical="bottom" wrapText="0"/>
    </x:xf>
    <x:xf numFmtId="165" fontId="7" fillId="0" borderId="0" xfId="0" applyFont="1" applyBorder="0" applyAlignment="1">
      <x:alignment horizontal="general" vertical="bottom" wrapText="0"/>
    </x:xf>
    <x:xf numFmtId="164" fontId="11" fillId="0" borderId="0" xfId="0" applyFont="1" applyBorder="0" applyAlignment="1">
      <x:alignment horizontal="general" vertical="bottom" wrapText="0"/>
    </x:xf>
    <x:xf numFmtId="165" fontId="11" fillId="0" borderId="0" xfId="0" applyFont="1" applyBorder="0" applyAlignment="1">
      <x:alignment horizontal="general" vertical="bottom" wrapText="0"/>
    </x:xf>
    <x:xf numFmtId="166" fontId="7" fillId="0" borderId="0" xfId="0" applyFont="1" applyBorder="0" applyAlignment="1">
      <x:alignment horizontal="center" vertical="bottom" wrapText="0"/>
    </x:xf>
    <x:xf numFmtId="166" fontId="10" fillId="0" borderId="0" xfId="0" applyFont="1" applyBorder="0" applyAlignment="1">
      <x:alignment horizontal="general" vertical="bottom" wrapText="0"/>
    </x:xf>
    <x:xf numFmtId="164" fontId="7" fillId="0" borderId="0" xfId="0" applyFont="1" applyBorder="0" applyAlignment="1">
      <x:alignment horizontal="center" vertical="bottom" wrapText="0"/>
    </x:xf>
    <x:xf numFmtId="164" fontId="9" fillId="0" borderId="0" xfId="0" applyFont="1" applyBorder="1" applyAlignment="1">
      <x:alignment horizontal="general" vertical="top" wrapText="1"/>
    </x:xf>
    <x:xf numFmtId="169" fontId="11" fillId="4" borderId="0" xfId="0" applyFont="1" applyBorder="0" applyAlignment="1">
      <x:alignment horizontal="general" vertical="bottom" wrapText="0"/>
    </x:xf>
    <x:xf numFmtId="170" fontId="8" fillId="4" borderId="0" xfId="0" applyFont="1" applyBorder="0" applyAlignment="1">
      <x:alignment horizontal="general" vertical="bottom" wrapText="0"/>
    </x:xf>
    <x:xf numFmtId="165" fontId="11" fillId="4" borderId="0" xfId="0" applyFont="1" applyBorder="0" applyAlignment="1">
      <x:alignment horizontal="general" vertical="bottom" wrapText="0"/>
    </x:xf>
    <x:xf numFmtId="169" fontId="10" fillId="0" borderId="0" xfId="0" applyFont="1" applyBorder="0" applyAlignment="1">
      <x:alignment horizontal="general" vertical="bottom" wrapText="0"/>
    </x:xf>
    <x:xf numFmtId="167" fontId="10" fillId="0" borderId="0" xfId="0" applyFont="1" applyBorder="0" applyAlignment="1">
      <x:alignment horizontal="general" vertical="bottom" wrapText="0"/>
    </x:xf>
    <x:xf numFmtId="167" fontId="7" fillId="0" borderId="0" xfId="0" applyFont="1" applyBorder="0" applyAlignment="1">
      <x:alignment horizontal="general" vertical="bottom" wrapText="0"/>
    </x:xf>
    <x:xf numFmtId="167" fontId="8" fillId="4" borderId="0" xfId="0" applyFont="1" applyBorder="0" applyAlignment="1">
      <x:alignment horizontal="general" vertical="bottom" wrapText="0"/>
    </x:xf>
    <x:xf numFmtId="167" fontId="11" fillId="0" borderId="0" xfId="0" applyFont="1" applyBorder="0" applyAlignment="1">
      <x:alignment horizontal="general" vertical="bottom" wrapText="0"/>
    </x:xf>
    <x:xf numFmtId="164" fontId="11" fillId="3" borderId="0" xfId="0" applyFont="1" applyBorder="0" applyAlignment="1">
      <x:alignment horizontal="general" vertical="bottom" wrapText="0"/>
    </x:xf>
    <x:xf numFmtId="165" fontId="11" fillId="3" borderId="0" xfId="0" applyFont="1" applyBorder="0" applyAlignment="1">
      <x:alignment horizontal="general" vertical="bottom" wrapText="0"/>
    </x:xf>
    <x:xf numFmtId="166" fontId="11" fillId="3" borderId="0" xfId="0" applyFont="1" applyBorder="0" applyAlignment="1">
      <x:alignment horizontal="general" vertical="bottom" wrapText="0"/>
    </x:xf>
    <x:xf numFmtId="169" fontId="7" fillId="0" borderId="0" xfId="0" applyFont="1" applyBorder="0" applyAlignment="1">
      <x:alignment horizontal="general" vertical="bottom" wrapText="0"/>
    </x:xf>
    <x:xf numFmtId="167" fontId="11" fillId="4" borderId="0" xfId="0" applyFont="1" applyBorder="0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left" vertical="bottom" wrapText="0"/>
    </x:xf>
    <x:xf numFmtId="164" fontId="12" fillId="5" borderId="0" xfId="0" applyNumberFormat="1" applyFont="1" applyFill="1" applyBorder="1" applyAlignment="1">
      <x:alignment horizontal="left" vertical="center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5" fillId="8" borderId="0" xfId="0" applyNumberFormat="1" applyFont="1" applyFill="1" applyBorder="1" applyAlignment="1">
      <x:alignment horizontal="general" vertical="bottom" wrapText="0"/>
    </x:xf>
    <x:xf numFmtId="164" fontId="5" fillId="8" borderId="2" xfId="0" applyNumberFormat="1" applyFont="1" applyFill="1" applyBorder="1" applyAlignment="1">
      <x:alignment horizontal="general" vertical="bottom" wrapText="0"/>
    </x:xf>
    <x:xf numFmtId="164" fontId="5" fillId="8" borderId="3" xfId="0" applyNumberFormat="1" applyFont="1" applyFill="1" applyBorder="1" applyAlignment="1">
      <x:alignment horizontal="general" vertical="bottom" wrapText="0"/>
    </x:xf>
    <x:xf numFmtId="164" fontId="5" fillId="8" borderId="4" xfId="0" applyNumberFormat="1" applyFont="1" applyFill="1" applyBorder="1" applyAlignment="1">
      <x:alignment horizontal="general" vertical="bottom" wrapText="0"/>
    </x:xf>
    <x:xf numFmtId="164" fontId="5" fillId="8" borderId="2" xfId="0" applyNumberFormat="1" applyFont="1" applyFill="1" applyBorder="1" applyAlignment="1">
      <x:alignment horizontal="general" vertical="bottom" wrapText="1"/>
    </x:xf>
    <x:xf numFmtId="164" fontId="5" fillId="8" borderId="3" xfId="0" applyNumberFormat="1" applyFont="1" applyFill="1" applyBorder="1" applyAlignment="1">
      <x:alignment horizontal="general" vertical="bottom" wrapText="1"/>
    </x:xf>
    <x:xf numFmtId="164" fontId="5" fillId="8" borderId="4" xfId="0" applyNumberFormat="1" applyFont="1" applyFill="1" applyBorder="1" applyAlignment="1">
      <x:alignment horizontal="general" vertical="bottom" wrapText="1"/>
    </x:xf>
    <x:xf numFmtId="164" fontId="5" fillId="8" borderId="2" xfId="0" applyNumberFormat="1" applyFont="1" applyFill="1" applyBorder="1" applyAlignment="1">
      <x:alignment horizontal="center" vertical="bottom" wrapText="1"/>
    </x:xf>
    <x:xf numFmtId="164" fontId="5" fillId="8" borderId="3" xfId="0" applyNumberFormat="1" applyFont="1" applyFill="1" applyBorder="1" applyAlignment="1">
      <x:alignment horizontal="center" vertical="bottom" wrapText="1"/>
    </x:xf>
    <x:xf numFmtId="164" fontId="5" fillId="8" borderId="4" xfId="0" applyNumberFormat="1" applyFont="1" applyFill="1" applyBorder="1" applyAlignment="1">
      <x:alignment horizontal="center" vertical="bottom" wrapText="1"/>
    </x:xf>
    <x:xf numFmtId="164" fontId="5" fillId="8" borderId="2" xfId="0" applyNumberFormat="1" applyFont="1" applyFill="1" applyBorder="1" applyAlignment="1">
      <x:alignment horizontal="center" vertical="center" wrapText="1"/>
    </x:xf>
    <x:xf numFmtId="164" fontId="5" fillId="8" borderId="3" xfId="0" applyNumberFormat="1" applyFont="1" applyFill="1" applyBorder="1" applyAlignment="1">
      <x:alignment horizontal="center" vertical="center" wrapText="1"/>
    </x:xf>
    <x:xf numFmtId="164" fontId="5" fillId="8" borderId="4" xfId="0" applyNumberFormat="1" applyFont="1" applyFill="1" applyBorder="1" applyAlignment="1">
      <x:alignment horizontal="center" vertical="center" wrapText="1"/>
    </x:xf>
    <x:xf numFmtId="164" fontId="15" fillId="0" borderId="0" xfId="0" applyNumberFormat="1" applyFont="1" applyFill="1" applyBorder="1" applyAlignment="1">
      <x:alignment horizontal="general" vertical="bottom" wrapText="0"/>
    </x:xf>
    <x:xf numFmtId="164" fontId="15" fillId="0" borderId="5" xfId="0" applyNumberFormat="1" applyFont="1" applyFill="1" applyBorder="1" applyAlignment="1">
      <x:alignment horizontal="general" vertical="bottom" wrapText="0"/>
    </x:xf>
    <x:xf numFmtId="164" fontId="15" fillId="0" borderId="0" xfId="0" applyNumberFormat="1" applyFont="1" applyFill="1" applyBorder="1" applyAlignment="1">
      <x:alignment horizontal="general" vertical="bottom" wrapText="1"/>
    </x:xf>
    <x:xf numFmtId="164" fontId="15" fillId="0" borderId="5" xfId="0" applyNumberFormat="1" applyFont="1" applyFill="1" applyBorder="1" applyAlignment="1">
      <x:alignment horizontal="general" vertical="bottom" wrapText="1"/>
    </x:xf>
    <x:xf numFmtId="164" fontId="15" fillId="0" borderId="0" xfId="0" applyNumberFormat="1" applyFont="1" applyFill="1" applyBorder="1" applyAlignment="1">
      <x:alignment horizontal="general" vertical="top" wrapText="1"/>
    </x:xf>
    <x:xf numFmtId="164" fontId="15" fillId="0" borderId="5" xfId="0" applyNumberFormat="1" applyFont="1" applyFill="1" applyBorder="1" applyAlignment="1">
      <x:alignment horizontal="general" vertical="top" wrapText="1"/>
    </x:xf>
    <x:xf numFmtId="200" fontId="15" fillId="0" borderId="0" xfId="0" applyNumberFormat="1" applyFont="1" applyFill="1" applyBorder="1" applyAlignment="1">
      <x:alignment horizontal="general" vertical="top" wrapText="1"/>
    </x:xf>
    <x:xf numFmtId="166" fontId="15" fillId="0" borderId="0" xfId="0" applyNumberFormat="1" applyFont="1" applyFill="1" applyBorder="1" applyAlignment="1">
      <x:alignment horizontal="general" vertical="top" wrapText="1"/>
    </x:xf>
    <x:xf numFmtId="168" fontId="15" fillId="0" borderId="0" xfId="0" applyNumberFormat="1" applyFont="1" applyFill="1" applyBorder="1" applyAlignment="1">
      <x:alignment horizontal="general" vertical="top" wrapText="1"/>
    </x:xf>
    <x:xf numFmtId="200" fontId="15" fillId="9" borderId="0" xfId="0" applyNumberFormat="1" applyFont="1" applyFill="1" applyBorder="1" applyAlignment="1">
      <x:alignment horizontal="general" vertical="top" wrapText="1"/>
    </x:xf>
    <x:xf numFmtId="166" fontId="15" fillId="9" borderId="0" xfId="0" applyNumberFormat="1" applyFont="1" applyFill="1" applyBorder="1" applyAlignment="1">
      <x:alignment horizontal="general" vertical="top" wrapText="1"/>
    </x:xf>
    <x:xf numFmtId="168" fontId="15" fillId="9" borderId="0" xfId="0" applyNumberFormat="1" applyFont="1" applyFill="1" applyBorder="1" applyAlignment="1">
      <x:alignment horizontal="general" vertical="top" wrapText="1"/>
    </x:xf>
    <x:xf numFmtId="164" fontId="15" fillId="9" borderId="5" xfId="0" applyNumberFormat="1" applyFont="1" applyFill="1" applyBorder="1" applyAlignment="1">
      <x:alignment horizontal="general" vertical="top" wrapText="1"/>
    </x:xf>
    <x:xf numFmtId="166" fontId="15" fillId="0" borderId="5" xfId="0" applyNumberFormat="1" applyFont="1" applyFill="1" applyBorder="1" applyAlignment="1">
      <x:alignment horizontal="general" vertical="top" wrapText="1"/>
    </x:xf>
    <x:xf numFmtId="200" fontId="15" fillId="10" borderId="0" xfId="0" applyNumberFormat="1" applyFont="1" applyFill="1" applyBorder="1" applyAlignment="1">
      <x:alignment horizontal="general" vertical="top" wrapText="1"/>
    </x:xf>
    <x:xf numFmtId="166" fontId="15" fillId="10" borderId="0" xfId="0" applyNumberFormat="1" applyFont="1" applyFill="1" applyBorder="1" applyAlignment="1">
      <x:alignment horizontal="general" vertical="top" wrapText="1"/>
    </x:xf>
    <x:xf numFmtId="166" fontId="15" fillId="10" borderId="5" xfId="0" applyNumberFormat="1" applyFont="1" applyFill="1" applyBorder="1" applyAlignment="1">
      <x:alignment horizontal="general" vertical="top" wrapText="1"/>
    </x:xf>
    <x:xf numFmtId="166" fontId="15" fillId="9" borderId="5" xfId="0" applyNumberFormat="1" applyFont="1" applyFill="1" applyBorder="1" applyAlignment="1">
      <x:alignment horizontal="general" vertical="top" wrapText="1"/>
    </x:xf>
    <x:xf numFmtId="200" fontId="15" fillId="11" borderId="0" xfId="0" applyNumberFormat="1" applyFont="1" applyFill="1" applyBorder="1" applyAlignment="1">
      <x:alignment horizontal="general" vertical="top" wrapText="1"/>
    </x:xf>
    <x:xf numFmtId="166" fontId="15" fillId="11" borderId="0" xfId="0" applyNumberFormat="1" applyFont="1" applyFill="1" applyBorder="1" applyAlignment="1">
      <x:alignment horizontal="general" vertical="top" wrapText="1"/>
    </x:xf>
    <x:xf numFmtId="166" fontId="15" fillId="11" borderId="5" xfId="0" applyNumberFormat="1" applyFont="1" applyFill="1" applyBorder="1" applyAlignment="1">
      <x:alignment horizontal="general" vertical="top" wrapText="1"/>
    </x:xf>
    <x:xf numFmtId="201" fontId="15" fillId="0" borderId="0" xfId="0" applyNumberFormat="1" applyFont="1" applyFill="1" applyBorder="1" applyAlignment="1">
      <x:alignment horizontal="general" vertical="top" wrapText="1"/>
    </x:xf>
    <x:xf numFmtId="201" fontId="15" fillId="0" borderId="5" xfId="0" applyNumberFormat="1" applyFont="1" applyFill="1" applyBorder="1" applyAlignment="1">
      <x:alignment horizontal="general" vertical="top" wrapText="1"/>
    </x:xf>
    <x:xf numFmtId="201" fontId="15" fillId="9" borderId="0" xfId="0" applyNumberFormat="1" applyFont="1" applyFill="1" applyBorder="1" applyAlignment="1">
      <x:alignment horizontal="general" vertical="top" wrapText="1"/>
    </x:xf>
    <x:xf numFmtId="201" fontId="15" fillId="9" borderId="5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1"/>
    </x:xf>
    <x:xf numFmtId="164" fontId="16" fillId="9" borderId="0" xfId="0" applyNumberFormat="1" applyFont="1" applyFill="1" applyBorder="1" applyAlignment="1">
      <x:alignment horizontal="general" vertical="top" wrapText="1"/>
    </x:xf>
    <x:xf numFmtId="164" fontId="12" fillId="5" borderId="0" xfId="0" applyNumberFormat="1" applyFont="1" applyFill="1" applyBorder="1" applyAlignment="1">
      <x:alignment horizontal="left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4344ee59c41bc" /><Relationship Type="http://schemas.openxmlformats.org/officeDocument/2006/relationships/theme" Target="/xl/theme/theme1.xml" Id="R2bcf422df6fb477e" /><Relationship Type="http://schemas.openxmlformats.org/officeDocument/2006/relationships/sharedStrings" Target="/xl/sharedStrings.xml" Id="R4b9cbedd87054f15" /><Relationship Type="http://schemas.openxmlformats.org/officeDocument/2006/relationships/worksheet" Target="/xl/worksheets/sheet1.xml" Id="R86f5d34937da4d1a" /><Relationship Type="http://schemas.openxmlformats.org/officeDocument/2006/relationships/worksheet" Target="/xl/worksheets/sheet2.xml" Id="R15b1bbc82b5e49ee" /><Relationship Type="http://schemas.openxmlformats.org/officeDocument/2006/relationships/worksheet" Target="/xl/worksheets/sheet3.xml" Id="R0a503064d1c449b6" /><Relationship Type="http://schemas.openxmlformats.org/officeDocument/2006/relationships/worksheet" Target="/xl/worksheets/sheet4.xml" Id="R569549c65c254e17" /><Relationship Type="http://schemas.openxmlformats.org/officeDocument/2006/relationships/worksheet" Target="/xl/worksheets/sheet5.xml" Id="R11815199508a45b7" /><Relationship Type="http://schemas.openxmlformats.org/officeDocument/2006/relationships/worksheet" Target="/xl/worksheets/sheet6.xml" Id="R679e8bbdb3454805" /><Relationship Type="http://schemas.openxmlformats.org/officeDocument/2006/relationships/worksheet" Target="/xl/worksheets/sheet7.xml" Id="Ra1c601b919504cd2" /><Relationship Type="http://schemas.openxmlformats.org/officeDocument/2006/relationships/worksheet" Target="/xl/worksheets/sheet8.xml" Id="R56a9c942544b4c58" /><Relationship Type="http://schemas.openxmlformats.org/officeDocument/2006/relationships/worksheet" Target="/xl/worksheets/sheet9.xml" Id="Rdae6359aca134fea" /><Relationship Type="http://schemas.openxmlformats.org/officeDocument/2006/relationships/worksheet" Target="/xl/worksheets/sheet10.xml" Id="Rec7a746ece3a4261" /><Relationship Type="http://schemas.openxmlformats.org/officeDocument/2006/relationships/worksheet" Target="/xl/worksheets/sheet11.xml" Id="R8f3f9d90634d48f2" /><Relationship Type="http://schemas.openxmlformats.org/officeDocument/2006/relationships/worksheet" Target="/xl/worksheets/sheet12.xml" Id="R84a20ecd14984393" /><Relationship Type="http://schemas.openxmlformats.org/officeDocument/2006/relationships/worksheet" Target="/xl/worksheets/sheet13.xml" Id="Ra295279952704a43" /><Relationship Type="http://schemas.openxmlformats.org/officeDocument/2006/relationships/worksheet" Target="/xl/worksheets/sheet14.xml" Id="Rd0a2ddd8ca5d44b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44" style="1" hidden="0" customWidth="1"/>
    <x:col min="2" max="2" width="14" style="1" hidden="0" customWidth="1"/>
    <x:col min="3" max="3" width="12" style="1" hidden="0" customWidth="1"/>
    <x:col min="4" max="4" width="46" style="1" hidden="0" customWidth="1"/>
  </x:cols>
  <x:sheetData>
    <x:row r="1" ht="24" hidden="0" customHeight="1">
      <x:c r="A1" s="2" t="str">
        <x:v>HEYS — Финмодель · Допущения (Pro-first: Self / Pro / Pro Спорт)</x:v>
      </x:c>
      <x:c r="B1" s="2"/>
      <x:c r="C1" s="2"/>
      <x:c r="D1" s="2"/>
    </x:row>
    <x:row r="2" ht="15" hidden="0" customHeight="1">
      <x:c r="A2" s="3" t="s">
        <x:v>0</x:v>
      </x:c>
      <x:c r="B2" s="3" t="s">
        <x:v>1</x:v>
      </x:c>
      <x:c r="C2" s="3" t="s">
        <x:v>2</x:v>
      </x:c>
      <x:c r="D2" s="3" t="s">
        <x:v>3</x:v>
      </x:c>
    </x:row>
    <x:row r="3" ht="15" hidden="0" customHeight="1">
      <x:c r="A3" s="4" t="s">
        <x:v>4</x:v>
      </x:c>
      <x:c r="B3" s="4"/>
      <x:c r="C3" s="4"/>
      <x:c r="D3" s="4"/>
    </x:row>
    <x:row r="4" ht="15" hidden="0" customHeight="1">
      <x:c r="A4" s="5" t="s">
        <x:v>5</x:v>
      </x:c>
      <x:c r="B4" s="6" t="n">
        <x:v>490</x:v>
      </x:c>
      <x:c r="C4" s="5" t="s">
        <x:v>6</x:v>
      </x:c>
      <x:c r="D4" s="7" t="s">
        <x:v>7</x:v>
      </x:c>
    </x:row>
    <x:row r="5" ht="15" hidden="0" customHeight="1">
      <x:c r="A5" s="5" t="s">
        <x:v>8</x:v>
      </x:c>
      <x:c r="B5" s="8" t="n">
        <x:v>1190</x:v>
      </x:c>
      <x:c r="C5" s="5" t="s">
        <x:v>6</x:v>
      </x:c>
      <x:c r="D5" s="7" t="s">
        <x:v>9</x:v>
      </x:c>
    </x:row>
    <x:row r="6" ht="15" hidden="0" customHeight="1">
      <x:c r="A6" s="5" t="s">
        <x:v>10</x:v>
      </x:c>
      <x:c r="B6" s="8" t="n">
        <x:v>3490</x:v>
      </x:c>
      <x:c r="C6" s="5" t="s">
        <x:v>6</x:v>
      </x:c>
      <x:c r="D6" s="7" t="s">
        <x:v>11</x:v>
      </x:c>
    </x:row>
    <x:row r="7" ht="15" hidden="0" customHeight="1">
      <x:c r="A7" s="5" t="s">
        <x:v>12</x:v>
      </x:c>
      <x:c r="B7" s="8" t="n">
        <x:v>7990</x:v>
      </x:c>
      <x:c r="C7" s="5" t="s">
        <x:v>6</x:v>
      </x:c>
      <x:c r="D7" s="7" t="s">
        <x:v>13</x:v>
      </x:c>
    </x:row>
    <x:row r="8" ht="15" hidden="0" customHeight="1">
      <x:c r="A8" s="5" t="str">
        <x:v>Цена — Pro Спорт</x:v>
      </x:c>
      <x:c r="B8" s="8" t="n">
        <x:v>19990</x:v>
      </x:c>
      <x:c r="C8" s="5" t="str">
        <x:v>₽</x:v>
      </x:c>
      <x:c r="D8" s="7" t="str">
        <x:v>Founder-led пилот: 4 места; следующий набор 26 990 ₽</x:v>
      </x:c>
    </x:row>
    <x:row r="9" ht="15" hidden="0" customHeight="1">
      <x:c r="A9" s="4" t="s">
        <x:v>14</x:v>
      </x:c>
      <x:c r="B9" s="4"/>
      <x:c r="C9" s="4"/>
      <x:c r="D9" s="4"/>
    </x:row>
    <x:row r="10" ht="15" hidden="0" customHeight="1">
      <x:c r="A10" s="5" t="s">
        <x:v>15</x:v>
      </x:c>
      <x:c r="B10" s="9" t="n">
        <x:v>0</x:v>
      </x:c>
      <x:c r="C10" s="5" t="s">
        <x:v>16</x:v>
      </x:c>
      <x:c r="D10" s="7" t="s">
        <x:v>17</x:v>
      </x:c>
    </x:row>
    <x:row r="11" ht="15" hidden="0" customHeight="1">
      <x:c r="A11" s="5" t="s">
        <x:v>18</x:v>
      </x:c>
      <x:c r="B11" s="9" t="n">
        <x:v>0</x:v>
      </x:c>
      <x:c r="C11" s="5" t="s">
        <x:v>16</x:v>
      </x:c>
      <x:c r="D11" s="7" t="s">
        <x:v>17</x:v>
      </x:c>
    </x:row>
    <x:row r="12" ht="15" hidden="0" customHeight="1">
      <x:c r="A12" s="5" t="s">
        <x:v>19</x:v>
      </x:c>
      <x:c r="B12" s="10" t="n">
        <x:v>0.25</x:v>
      </x:c>
      <x:c r="C12" s="5" t="s">
        <x:v>16</x:v>
      </x:c>
      <x:c r="D12" s="7" t="s">
        <x:v>20</x:v>
      </x:c>
    </x:row>
    <x:row r="13" ht="15" hidden="0" customHeight="1">
      <x:c r="A13" s="5" t="s">
        <x:v>21</x:v>
      </x:c>
      <x:c r="B13" s="10" t="n">
        <x:v>0.5</x:v>
      </x:c>
      <x:c r="C13" s="5" t="s">
        <x:v>16</x:v>
      </x:c>
      <x:c r="D13" s="7" t="s">
        <x:v>22</x:v>
      </x:c>
    </x:row>
    <x:row r="14" ht="15" hidden="0" customHeight="1">
      <x:c r="A14" s="5" t="str">
        <x:v>Доля — Pro Спорт</x:v>
      </x:c>
      <x:c r="B14" s="10" t="n">
        <x:v>0.5</x:v>
      </x:c>
      <x:c r="C14" s="5" t="str">
        <x:v>%</x:v>
      </x:c>
      <x:c r="D14" s="7" t="str">
        <x:v>Архивный blended-расчёт; точная модель — лист Pro Спорт</x:v>
      </x:c>
    </x:row>
    <x:row r="15" ht="15" hidden="0" customHeight="1">
      <x:c r="A15" s="4" t="s">
        <x:v>23</x:v>
      </x:c>
      <x:c r="B15" s="4"/>
      <x:c r="C15" s="4"/>
      <x:c r="D15" s="4"/>
    </x:row>
    <x:row r="16" ht="15" hidden="0" customHeight="1">
      <x:c r="A16" s="5" t="s">
        <x:v>24</x:v>
      </x:c>
      <x:c r="B16" s="10" t="n">
        <x:v>0.12</x:v>
      </x:c>
      <x:c r="C16" s="5" t="s">
        <x:v>16</x:v>
      </x:c>
      <x:c r="D16" s="7" t="s">
        <x:v>25</x:v>
      </x:c>
    </x:row>
    <x:row r="17" ht="15" hidden="0" customHeight="1">
      <x:c r="A17" s="5" t="s">
        <x:v>26</x:v>
      </x:c>
      <x:c r="B17" s="10" t="n">
        <x:v>0.1</x:v>
      </x:c>
      <x:c r="C17" s="5" t="s">
        <x:v>16</x:v>
      </x:c>
      <x:c r="D17" s="7"/>
    </x:row>
    <x:row r="18" ht="15" hidden="0" customHeight="1">
      <x:c r="A18" s="5" t="s">
        <x:v>27</x:v>
      </x:c>
      <x:c r="B18" s="10" t="n">
        <x:v>0.08</x:v>
      </x:c>
      <x:c r="C18" s="5" t="s">
        <x:v>16</x:v>
      </x:c>
      <x:c r="D18" s="7" t="s">
        <x:v>28</x:v>
      </x:c>
    </x:row>
    <x:row r="19" ht="15" hidden="0" customHeight="1">
      <x:c r="A19" s="5" t="str">
        <x:v>Отток — Pro Спорт</x:v>
      </x:c>
      <x:c r="B19" s="10" t="n">
        <x:v>0.07</x:v>
      </x:c>
      <x:c r="C19" s="5" t="s">
        <x:v>16</x:v>
      </x:c>
      <x:c r="D19" s="7"/>
    </x:row>
    <x:row r="20" ht="15" hidden="0" customHeight="1">
      <x:c r="A20" s="4" t="s">
        <x:v>29</x:v>
      </x:c>
      <x:c r="B20" s="4"/>
      <x:c r="C20" s="4"/>
      <x:c r="D20" s="4"/>
    </x:row>
    <x:row r="21" ht="15" hidden="0" customHeight="1">
      <x:c r="A21" s="5" t="s">
        <x:v>30</x:v>
      </x:c>
      <x:c r="B21" s="9" t="n">
        <x:v>0.2</x:v>
      </x:c>
      <x:c r="C21" s="5" t="s">
        <x:v>16</x:v>
      </x:c>
      <x:c r="D21" s="7" t="s">
        <x:v>31</x:v>
      </x:c>
    </x:row>
    <x:row r="22" ht="15" hidden="0" customHeight="1">
      <x:c r="A22" s="5" t="s">
        <x:v>32</x:v>
      </x:c>
      <x:c r="B22" s="9" t="n">
        <x:v>0</x:v>
      </x:c>
      <x:c r="C22" s="5" t="s">
        <x:v>16</x:v>
      </x:c>
      <x:c r="D22" s="7" t="s">
        <x:v>33</x:v>
      </x:c>
    </x:row>
    <x:row r="23" ht="15" hidden="0" customHeight="1">
      <x:c r="A23" s="5" t="s">
        <x:v>34</x:v>
      </x:c>
      <x:c r="B23" s="9" t="n">
        <x:v>0.65</x:v>
      </x:c>
      <x:c r="C23" s="5" t="s">
        <x:v>16</x:v>
      </x:c>
      <x:c r="D23" s="7" t="s">
        <x:v>35</x:v>
      </x:c>
    </x:row>
    <x:row r="24" ht="15" hidden="0" customHeight="1">
      <x:c r="A24" s="5" t="str">
        <x:v>Микс — Pro Спорт</x:v>
      </x:c>
      <x:c r="B24" s="9" t="n">
        <x:v>0.15</x:v>
      </x:c>
      <x:c r="C24" s="5" t="s">
        <x:v>16</x:v>
      </x:c>
      <x:c r="D24" s="7" t="s">
        <x:v>36</x:v>
      </x:c>
    </x:row>
    <x:row r="25" ht="15" hidden="0" customHeight="1">
      <x:c r="A25" s="4" t="s">
        <x:v>37</x:v>
      </x:c>
      <x:c r="B25" s="4"/>
      <x:c r="C25" s="4"/>
      <x:c r="D25" s="4"/>
    </x:row>
    <x:row r="26" ht="15" hidden="0" customHeight="1">
      <x:c r="A26" s="5" t="s">
        <x:v>38</x:v>
      </x:c>
      <x:c r="B26" s="8" t="n">
        <x:v>3</x:v>
      </x:c>
      <x:c r="C26" s="5" t="s">
        <x:v>6</x:v>
      </x:c>
      <x:c r="D26" s="7" t="s">
        <x:v>39</x:v>
      </x:c>
    </x:row>
    <x:row r="27" ht="15" hidden="0" customHeight="1">
      <x:c r="A27" s="5" t="s">
        <x:v>40</x:v>
      </x:c>
      <x:c r="B27" s="11" t="n">
        <x:v>100</x:v>
      </x:c>
      <x:c r="C27" s="5" t="s">
        <x:v>41</x:v>
      </x:c>
      <x:c r="D27" s="7" t="s">
        <x:v>42</x:v>
      </x:c>
    </x:row>
    <x:row r="28" ht="15" hidden="0" customHeight="1">
      <x:c r="A28" s="5" t="s">
        <x:v>43</x:v>
      </x:c>
      <x:c r="B28" s="11" t="n">
        <x:v>0</x:v>
      </x:c>
      <x:c r="C28" s="5" t="s">
        <x:v>41</x:v>
      </x:c>
      <x:c r="D28" s="7" t="s">
        <x:v>44</x:v>
      </x:c>
    </x:row>
    <x:row r="29" ht="15" hidden="0" customHeight="1">
      <x:c r="A29" s="4" t="s">
        <x:v>45</x:v>
      </x:c>
      <x:c r="B29" s="4"/>
      <x:c r="C29" s="4"/>
      <x:c r="D29" s="4"/>
    </x:row>
    <x:row r="30" ht="15" hidden="0" customHeight="1">
      <x:c r="A30" s="5" t="s">
        <x:v>46</x:v>
      </x:c>
      <x:c r="B30" s="9" t="n">
        <x:v>0.035</x:v>
      </x:c>
      <x:c r="C30" s="5" t="s">
        <x:v>16</x:v>
      </x:c>
      <x:c r="D30" s="7" t="s">
        <x:v>47</x:v>
      </x:c>
    </x:row>
    <x:row r="31" ht="15" hidden="0" customHeight="1">
      <x:c r="A31" s="5" t="s">
        <x:v>48</x:v>
      </x:c>
      <x:c r="B31" s="6" t="n">
        <x:v>50</x:v>
      </x:c>
      <x:c r="C31" s="5" t="s">
        <x:v>6</x:v>
      </x:c>
      <x:c r="D31" s="7" t="s">
        <x:v>49</x:v>
      </x:c>
    </x:row>
    <x:row r="32" ht="15" hidden="0" customHeight="1">
      <x:c r="A32" s="5" t="s">
        <x:v>50</x:v>
      </x:c>
      <x:c r="B32" s="6" t="n">
        <x:v>4600</x:v>
      </x:c>
      <x:c r="C32" s="5" t="s">
        <x:v>6</x:v>
      </x:c>
      <x:c r="D32" s="7" t="s">
        <x:v>51</x:v>
      </x:c>
    </x:row>
    <x:row r="33" ht="15" hidden="0" customHeight="1">
      <x:c r="A33" s="4" t="s">
        <x:v>52</x:v>
      </x:c>
      <x:c r="B33" s="4"/>
      <x:c r="C33" s="4"/>
      <x:c r="D33" s="4"/>
    </x:row>
    <x:row r="34" ht="15" hidden="0" customHeight="1">
      <x:c r="A34" s="5" t="s">
        <x:v>53</x:v>
      </x:c>
      <x:c r="B34" s="10" t="n">
        <x:v>0.4</x:v>
      </x:c>
      <x:c r="C34" s="5" t="s">
        <x:v>16</x:v>
      </x:c>
      <x:c r="D34" s="7" t="s">
        <x:v>54</x:v>
      </x:c>
    </x:row>
    <x:row r="35" ht="15" hidden="0" customHeight="1">
      <x:c r="A35" s="5" t="s">
        <x:v>55</x:v>
      </x:c>
      <x:c r="B35" s="10" t="n">
        <x:v>0.3</x:v>
      </x:c>
      <x:c r="C35" s="5" t="s">
        <x:v>16</x:v>
      </x:c>
      <x:c r="D35" s="7" t="s">
        <x:v>54</x:v>
      </x:c>
    </x:row>
    <x:row r="36" ht="15" hidden="0" customHeight="1">
      <x:c r="A36" s="5" t="s">
        <x:v>56</x:v>
      </x:c>
      <x:c r="B36" s="8" t="n">
        <x:v>400</x:v>
      </x:c>
      <x:c r="C36" s="5" t="s">
        <x:v>6</x:v>
      </x:c>
      <x:c r="D36" s="7" t="s">
        <x:v>54</x:v>
      </x:c>
    </x:row>
    <x:row r="37" ht="15" hidden="0" customHeight="1">
      <x:c r="A37" s="5" t="s">
        <x:v>57</x:v>
      </x:c>
      <x:c r="B37" s="6" t="n">
        <x:v>500</x:v>
      </x:c>
      <x:c r="C37" s="5" t="s">
        <x:v>6</x:v>
      </x:c>
      <x:c r="D37" s="7"/>
    </x:row>
    <x:row r="38" ht="15" hidden="0" customHeight="1">
      <x:c r="A38" s="5" t="s">
        <x:v>58</x:v>
      </x:c>
      <x:c r="B38" s="6" t="n">
        <x:v>2500</x:v>
      </x:c>
      <x:c r="C38" s="5" t="s">
        <x:v>6</x:v>
      </x:c>
      <x:c r="D38" s="7"/>
    </x:row>
    <x:row r="39" ht="15" hidden="0" customHeight="1">
      <x:c r="A39" s="4" t="s">
        <x:v>59</x:v>
      </x:c>
      <x:c r="B39" s="4"/>
      <x:c r="C39" s="4"/>
      <x:c r="D39" s="4"/>
    </x:row>
    <x:row r="40" ht="15" hidden="0" customHeight="1">
      <x:c r="A40" s="5" t="s">
        <x:v>60</x:v>
      </x:c>
      <x:c r="B40" s="11" t="n">
        <x:v>14</x:v>
      </x:c>
      <x:c r="C40" s="5" t="s">
        <x:v>41</x:v>
      </x:c>
      <x:c r="D40" s="7" t="s">
        <x:v>61</x:v>
      </x:c>
    </x:row>
    <x:row r="41" ht="15" hidden="0" customHeight="1">
      <x:c r="A41" s="5" t="s">
        <x:v>62</x:v>
      </x:c>
      <x:c r="B41" s="6" t="n">
        <x:v>50000</x:v>
      </x:c>
      <x:c r="C41" s="5" t="s">
        <x:v>6</x:v>
      </x:c>
      <x:c r="D41" s="7" t="s">
        <x:v>63</x:v>
      </x:c>
    </x:row>
    <x:row r="42" ht="15" hidden="0" customHeight="1">
      <x:c r="A42" s="5" t="s">
        <x:v>64</x:v>
      </x:c>
      <x:c r="B42" s="8" t="n">
        <x:v>75000</x:v>
      </x:c>
      <x:c r="C42" s="5" t="s">
        <x:v>6</x:v>
      </x:c>
      <x:c r="D42" s="7" t="s">
        <x:v>65</x:v>
      </x:c>
    </x:row>
    <x:row r="43" ht="15" hidden="0" customHeight="1">
      <x:c r="A43" s="5" t="s">
        <x:v>66</x:v>
      </x:c>
      <x:c r="B43" s="8" t="n">
        <x:v>3500</x:v>
      </x:c>
      <x:c r="C43" s="5" t="s">
        <x:v>6</x:v>
      </x:c>
      <x:c r="D43" s="7" t="s">
        <x:v>65</x:v>
      </x:c>
    </x:row>
    <x:row r="44" ht="15" hidden="0" customHeight="1">
      <x:c r="A44" s="4" t="s">
        <x:v>67</x:v>
      </x:c>
      <x:c r="B44" s="4"/>
      <x:c r="C44" s="4"/>
      <x:c r="D44" s="4"/>
    </x:row>
    <x:row r="45" ht="15" hidden="0" customHeight="1">
      <x:c r="A45" s="5" t="s">
        <x:v>68</x:v>
      </x:c>
      <x:c r="B45" s="12" t="e">
        <x:f aca="0">Допущения!$B$16*Допущения!$B$21+Допущения!$B$17*Допущения!$B$22+Допущения!$B$18*Допущения!$B$23+Допущения!$B$19*Допущения!$B$24</x:f>
        <x:v>#NAME?</x:v>
      </x:c>
    </x:row>
    <x:row r="46" ht="15" hidden="0" customHeight="1">
      <x:c r="A46" s="5" t="s">
        <x:v>69</x:v>
      </x:c>
      <x:c r="B46" s="13" t="e">
        <x:f aca="0">1/B45</x:f>
        <x:v>#NAME?</x:v>
      </x:c>
    </x:row>
  </x:sheetData>
  <x:mergeCells>
    <x:mergeCell ref="A1:D1"/>
    <x:mergeCell ref="A3:D3"/>
    <x:mergeCell ref="A9:D9"/>
    <x:mergeCell ref="A15:D15"/>
    <x:mergeCell ref="A20:D20"/>
    <x:mergeCell ref="A25:D25"/>
    <x:mergeCell ref="A29:D29"/>
    <x:mergeCell ref="A33:D33"/>
    <x:mergeCell ref="A39:D39"/>
    <x:mergeCell ref="A44:D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30" style="1" hidden="0" customWidth="1"/>
    <x:col min="2" max="6" width="12" style="1" hidden="0" customWidth="1"/>
  </x:cols>
  <x:sheetData>
    <x:row r="1" ht="24" hidden="0" customHeight="1">
      <x:c r="A1" s="2" t="s">
        <x:v>70</x:v>
      </x:c>
      <x:c r="B1" s="2"/>
      <x:c r="C1" s="2"/>
      <x:c r="D1" s="2"/>
      <x:c r="E1" s="2"/>
      <x:c r="F1" s="2"/>
    </x:row>
    <x:row r="3" ht="15" hidden="0" customHeight="1">
      <x:c r="A3" s="3" t="s">
        <x:v>71</x:v>
      </x:c>
      <x:c r="B3" s="3" t="s">
        <x:v>72</x:v>
      </x:c>
      <x:c r="C3" s="3" t="s">
        <x:v>73</x:v>
      </x:c>
      <x:c r="D3" s="3" t="s">
        <x:v>74</x:v>
      </x:c>
      <x:c r="E3" s="3" t="s">
        <x:v>75</x:v>
      </x:c>
      <x:c r="F3" s="3" t="str">
        <x:v>Pro Спорт</x:v>
      </x:c>
    </x:row>
    <x:row r="4" ht="15" hidden="0" customHeight="1">
      <x:c r="A4" s="5" t="s">
        <x:v>76</x:v>
      </x:c>
      <x:c r="B4" s="14" t="e">
        <x:f aca="0">Допущения!$B$4</x:f>
        <x:v>#NAME?</x:v>
      </x:c>
      <x:c r="C4" s="14" t="e">
        <x:f aca="0">Допущения!$B$5</x:f>
        <x:v>#NAME?</x:v>
      </x:c>
      <x:c r="D4" s="14" t="e">
        <x:f aca="0">Допущения!$B$6</x:f>
        <x:v>#NAME?</x:v>
      </x:c>
      <x:c r="E4" s="14" t="e">
        <x:f aca="0">Допущения!$B$7</x:f>
        <x:v>#NAME?</x:v>
      </x:c>
      <x:c r="F4" s="14" t="e">
        <x:f aca="0">Допущения!$B$8</x:f>
        <x:v>#NAME?</x:v>
      </x:c>
    </x:row>
    <x:row r="5" ht="15" hidden="0" customHeight="1">
      <x:c r="A5" s="5" t="s">
        <x:v>77</x:v>
      </x:c>
      <x:c r="B5" s="15" t="e">
        <x:f aca="0">Допущения!$B$28*Допущения!$B$26</x:f>
        <x:v>#NAME?</x:v>
      </x:c>
      <x:c r="C5" s="15" t="e">
        <x:f aca="0">Допущения!$B$27*Допущения!$B$26</x:f>
        <x:v>#NAME?</x:v>
      </x:c>
      <x:c r="D5" s="15" t="e">
        <x:f aca="0">Допущения!$B$27*Допущения!$B$26</x:f>
        <x:v>#NAME?</x:v>
      </x:c>
      <x:c r="E5" s="15" t="e">
        <x:f aca="0">Допущения!$B$27*Допущения!$B$26</x:f>
        <x:v>#NAME?</x:v>
      </x:c>
      <x:c r="F5" s="15" t="e">
        <x:f aca="0">Допущения!$B$27*Допущения!$B$26</x:f>
        <x:v>#NAME?</x:v>
      </x:c>
    </x:row>
    <x:row r="6" ht="15" hidden="0" customHeight="1">
      <x:c r="A6" s="5" t="s">
        <x:v>78</x:v>
      </x:c>
      <x:c r="B6" s="15" t="e">
        <x:f aca="0">B4*Допущения!$B$10</x:f>
        <x:v>#NAME?</x:v>
      </x:c>
      <x:c r="C6" s="15" t="e">
        <x:f aca="0">C4*Допущения!$B$11</x:f>
        <x:v>#NAME?</x:v>
      </x:c>
      <x:c r="D6" s="15" t="e">
        <x:f aca="0">D4*Допущения!$B$12</x:f>
        <x:v>#NAME?</x:v>
      </x:c>
      <x:c r="E6" s="15" t="e">
        <x:f aca="0">E4*Допущения!$B$13</x:f>
        <x:v>#NAME?</x:v>
      </x:c>
      <x:c r="F6" s="15" t="e">
        <x:f aca="0">F4*Допущения!$B$14</x:f>
        <x:v>#NAME?</x:v>
      </x:c>
    </x:row>
    <x:row r="7" ht="15" hidden="0" customHeight="1">
      <x:c r="A7" s="5" t="s">
        <x:v>79</x:v>
      </x:c>
      <x:c r="B7" s="15" t="e">
        <x:f aca="0">B4*Допущения!$B$30</x:f>
        <x:v>#NAME?</x:v>
      </x:c>
      <x:c r="C7" s="15" t="e">
        <x:f aca="0">C4*Допущения!$B$30</x:f>
        <x:v>#NAME?</x:v>
      </x:c>
      <x:c r="D7" s="15" t="e">
        <x:f aca="0">D4*Допущения!$B$30</x:f>
        <x:v>#NAME?</x:v>
      </x:c>
      <x:c r="E7" s="15" t="e">
        <x:f aca="0">E4*Допущения!$B$30</x:f>
        <x:v>#NAME?</x:v>
      </x:c>
      <x:c r="F7" s="15" t="e">
        <x:f aca="0">F4*Допущения!$B$30</x:f>
        <x:v>#NAME?</x:v>
      </x:c>
    </x:row>
    <x:row r="8" ht="15" hidden="0" customHeight="1">
      <x:c r="A8" s="5" t="s">
        <x:v>80</x:v>
      </x:c>
      <x:c r="B8" s="14" t="e">
        <x:f aca="0">Допущения!$B$31</x:f>
        <x:v>#NAME?</x:v>
      </x:c>
      <x:c r="C8" s="14" t="e">
        <x:f aca="0">Допущения!$B$31</x:f>
        <x:v>#NAME?</x:v>
      </x:c>
      <x:c r="D8" s="14" t="e">
        <x:f aca="0">Допущения!$B$31</x:f>
        <x:v>#NAME?</x:v>
      </x:c>
      <x:c r="E8" s="14" t="e">
        <x:f aca="0">Допущения!$B$31</x:f>
        <x:v>#NAME?</x:v>
      </x:c>
      <x:c r="F8" s="14" t="e">
        <x:f aca="0">Допущения!$B$31</x:f>
        <x:v>#NAME?</x:v>
      </x:c>
    </x:row>
    <x:row r="9" ht="15" hidden="0" customHeight="1">
      <x:c r="A9" s="16" t="s">
        <x:v>81</x:v>
      </x:c>
      <x:c r="B9" s="17" t="e">
        <x:f aca="0">B4-B5-B6-B7-B8</x:f>
        <x:v>#NAME?</x:v>
      </x:c>
      <x:c r="C9" s="17" t="e">
        <x:f aca="0">C4-C5-C6-C7-C8</x:f>
        <x:v>#NAME?</x:v>
      </x:c>
      <x:c r="D9" s="17" t="e">
        <x:f aca="0">D4-D5-D6-D7-D8</x:f>
        <x:v>#NAME?</x:v>
      </x:c>
      <x:c r="E9" s="17" t="e">
        <x:f aca="0">E4-E5-E6-E7-E8</x:f>
        <x:v>#NAME?</x:v>
      </x:c>
      <x:c r="F9" s="17" t="e">
        <x:f aca="0">F4-F5-F6-F7-F8</x:f>
        <x:v>#NAME?</x:v>
      </x:c>
    </x:row>
    <x:row r="10" ht="15" hidden="0" customHeight="1">
      <x:c r="A10" s="5" t="s">
        <x:v>82</x:v>
      </x:c>
      <x:c r="B10" s="12" t="e">
        <x:f aca="0">IF(B4=0,"—",B9/B4)</x:f>
        <x:v>#NAME?</x:v>
      </x:c>
      <x:c r="C10" s="12" t="e">
        <x:f aca="0">IF(C4=0,"—",C9/C4)</x:f>
        <x:v>#NAME?</x:v>
      </x:c>
      <x:c r="D10" s="12" t="e">
        <x:f aca="0">IF(D4=0,"—",D9/D4)</x:f>
        <x:v>#NAME?</x:v>
      </x:c>
      <x:c r="E10" s="12" t="e">
        <x:f aca="0">IF(E4=0,"—",E9/E4)</x:f>
        <x:v>#NAME?</x:v>
      </x:c>
      <x:c r="F10" s="12" t="e">
        <x:f aca="0">IF(F4=0,"—",F9/F4)</x:f>
        <x:v>#NAME?</x:v>
      </x:c>
    </x:row>
    <x:row r="11" ht="15" hidden="0" customHeight="1">
      <x:c r="A11" s="5" t="s">
        <x:v>83</x:v>
      </x:c>
      <x:c r="B11" s="18" t="e">
        <x:f aca="0">Допущения!$B$16</x:f>
        <x:v>#NAME?</x:v>
      </x:c>
      <x:c r="C11" s="19" t="e">
        <x:f aca="0">Допущения!$B$16</x:f>
        <x:v>#NAME?</x:v>
      </x:c>
      <x:c r="D11" s="19" t="e">
        <x:f aca="0">Допущения!$B$17</x:f>
        <x:v>#NAME?</x:v>
      </x:c>
      <x:c r="E11" s="19" t="e">
        <x:f aca="0">Допущения!$B$18</x:f>
        <x:v>#NAME?</x:v>
      </x:c>
      <x:c r="F11" s="19" t="e">
        <x:f aca="0">Допущения!$B$19</x:f>
        <x:v>#NAME?</x:v>
      </x:c>
    </x:row>
    <x:row r="12" ht="15" hidden="0" customHeight="1">
      <x:c r="A12" s="5" t="s">
        <x:v>84</x:v>
      </x:c>
      <x:c r="B12" s="20" t="e">
        <x:f aca="0">1/B11</x:f>
        <x:v>#NAME?</x:v>
      </x:c>
      <x:c r="C12" s="13" t="e">
        <x:f aca="0">1/C11</x:f>
        <x:v>#NAME?</x:v>
      </x:c>
      <x:c r="D12" s="13" t="e">
        <x:f aca="0">1/D11</x:f>
        <x:v>#NAME?</x:v>
      </x:c>
      <x:c r="E12" s="13" t="e">
        <x:f aca="0">1/E11</x:f>
        <x:v>#NAME?</x:v>
      </x:c>
      <x:c r="F12" s="13" t="e">
        <x:f aca="0">1/F11</x:f>
        <x:v>#NAME?</x:v>
      </x:c>
    </x:row>
    <x:row r="13" ht="15" hidden="0" customHeight="1">
      <x:c r="A13" s="16" t="s">
        <x:v>85</x:v>
      </x:c>
      <x:c r="B13" s="20" t="e">
        <x:f aca="0">B9*B12</x:f>
        <x:v>#NAME?</x:v>
      </x:c>
      <x:c r="C13" s="17" t="e">
        <x:f aca="0">C9*C12</x:f>
        <x:v>#NAME?</x:v>
      </x:c>
      <x:c r="D13" s="17" t="e">
        <x:f aca="0">D9*D12</x:f>
        <x:v>#NAME?</x:v>
      </x:c>
      <x:c r="E13" s="17" t="e">
        <x:f aca="0">E9*E12</x:f>
        <x:v>#NAME?</x:v>
      </x:c>
      <x:c r="F13" s="17" t="e">
        <x:f aca="0">F9*F12</x:f>
        <x:v>#NAME?</x:v>
      </x:c>
    </x:row>
    <x:row r="15" ht="15" hidden="0" customHeight="1">
      <x:c r="A15" s="21" t="s">
        <x:v>86</x:v>
      </x:c>
      <x:c r="B15" s="21"/>
      <x:c r="C15" s="21"/>
      <x:c r="D15" s="21"/>
      <x:c r="E15" s="21"/>
      <x:c r="F15" s="21"/>
    </x:row>
    <x:row r="16" ht="15" hidden="0" customHeight="1">
      <x:c r="A16" s="21"/>
      <x:c r="B16" s="21"/>
      <x:c r="C16" s="21"/>
      <x:c r="D16" s="21"/>
      <x:c r="E16" s="21"/>
      <x:c r="F16" s="21"/>
    </x:row>
  </x:sheetData>
  <x:mergeCells>
    <x:mergeCell ref="A1:F1"/>
    <x:mergeCell ref="A15:F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46" style="1" hidden="0" customWidth="1"/>
    <x:col min="2" max="2" width="16" style="1" hidden="0" customWidth="1"/>
  </x:cols>
  <x:sheetData>
    <x:row r="1" ht="24" hidden="0" customHeight="1">
      <x:c r="A1" s="2" t="s">
        <x:v>87</x:v>
      </x:c>
      <x:c r="B1" s="2"/>
    </x:row>
    <x:row r="3" ht="15" hidden="0" customHeight="1">
      <x:c r="A3" s="3" t="s">
        <x:v>88</x:v>
      </x:c>
      <x:c r="B3" s="3" t="s">
        <x:v>1</x:v>
      </x:c>
    </x:row>
    <x:row r="4" ht="15" hidden="0" customHeight="1">
      <x:c r="A4" s="5" t="s">
        <x:v>89</x:v>
      </x:c>
      <x:c r="B4" s="13" t="e">
        <x:f aca="0">1/(Допущения!$B$34*Допущения!$B$35)</x:f>
        <x:v>#NAME?</x:v>
      </x:c>
    </x:row>
    <x:row r="5" ht="15" hidden="0" customHeight="1">
      <x:c r="A5" s="5" t="s">
        <x:v>90</x:v>
      </x:c>
      <x:c r="B5" s="13" t="e">
        <x:f aca="0">1/Допущения!$B$35</x:f>
        <x:v>#NAME?</x:v>
      </x:c>
    </x:row>
    <x:row r="6" ht="15" hidden="0" customHeight="1">
      <x:c r="A6" s="5" t="s">
        <x:v>91</x:v>
      </x:c>
      <x:c r="B6" s="15" t="e">
        <x:f aca="0">B4*Допущения!$B$36</x:f>
        <x:v>#NAME?</x:v>
      </x:c>
    </x:row>
    <x:row r="7" ht="15" hidden="0" customHeight="1">
      <x:c r="A7" s="5" t="s">
        <x:v>92</x:v>
      </x:c>
      <x:c r="B7" s="15" t="e">
        <x:f aca="0">B5*Допущения!$B$37+Допущения!$B$38</x:f>
        <x:v>#NAME?</x:v>
      </x:c>
    </x:row>
    <x:row r="8" ht="15" hidden="0" customHeight="1">
      <x:c r="A8" s="16" t="s">
        <x:v>93</x:v>
      </x:c>
      <x:c r="B8" s="17" t="e">
        <x:f aca="0">B6+B7</x:f>
        <x:v>#NAME?</x:v>
      </x:c>
    </x:row>
    <x:row r="9" ht="15" hidden="0" customHeight="1">
      <x:c r="A9" s="4" t="s">
        <x:v>94</x:v>
      </x:c>
      <x:c r="B9" s="4"/>
    </x:row>
    <x:row r="10" ht="15" hidden="0" customHeight="1">
      <x:c r="A10" s="5" t="s">
        <x:v>95</x:v>
      </x:c>
      <x:c r="B10" s="15" t="e">
        <x:f aca="0">'Unit-экономика'!B4*Допущения!$B$21+'Unit-экономика'!D4*Допущения!$B$22+'Unit-экономика'!E4*Допущения!$B$23+'Unit-экономика'!F4*Допущения!$B$24</x:f>
        <x:v>#NAME?</x:v>
      </x:c>
    </x:row>
    <x:row r="11" ht="15" hidden="0" customHeight="1">
      <x:c r="A11" s="5" t="s">
        <x:v>96</x:v>
      </x:c>
      <x:c r="B11" s="15" t="e">
        <x:f aca="0">'Unit-экономика'!B9*Допущения!$B$21+'Unit-экономика'!D9*Допущения!$B$22+'Unit-экономика'!E9*Допущения!$B$23+'Unit-экономика'!F9*Допущения!$B$24</x:f>
        <x:v>#NAME?</x:v>
      </x:c>
    </x:row>
    <x:row r="12" ht="15" hidden="0" customHeight="1">
      <x:c r="A12" s="16" t="s">
        <x:v>97</x:v>
      </x:c>
      <x:c r="B12" s="17" t="e">
        <x:f aca="0">'Unit-экономика'!B13*Допущения!$B$21+'Unit-экономика'!D13*Допущения!$B$22+'Unit-экономика'!E13*Допущения!$B$23+'Unit-экономика'!F13*Допущения!$B$24</x:f>
        <x:v>#NAME?</x:v>
      </x:c>
    </x:row>
    <x:row r="13" ht="15" hidden="0" customHeight="1">
      <x:c r="A13" s="16" t="s">
        <x:v>98</x:v>
      </x:c>
      <x:c r="B13" s="22" t="e">
        <x:f aca="0">B12/B8</x:f>
        <x:v>#NAME?</x:v>
      </x:c>
    </x:row>
    <x:row r="14" ht="15" hidden="0" customHeight="1">
      <x:c r="A14" s="5" t="s">
        <x:v>99</x:v>
      </x:c>
      <x:c r="B14" s="13" t="e">
        <x:f aca="0">B8/B11</x:f>
        <x:v>#NAME?</x:v>
      </x:c>
    </x:row>
    <x:row r="15" ht="15" hidden="0" customHeight="1">
      <x:c r="A15" s="21" t="s">
        <x:v>100</x:v>
      </x:c>
      <x:c r="B15" s="21"/>
    </x:row>
    <x:row r="16" ht="15" hidden="0" customHeight="1">
      <x:c r="A16" s="21"/>
      <x:c r="B16" s="21"/>
    </x:row>
  </x:sheetData>
  <x:mergeCells>
    <x:mergeCell ref="A1:B1"/>
    <x:mergeCell ref="A9:B9"/>
    <x:mergeCell ref="A15:B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52" style="1" hidden="0" customWidth="1"/>
    <x:col min="2" max="2" width="16" style="1" hidden="0" customWidth="1"/>
  </x:cols>
  <x:sheetData>
    <x:row r="1" ht="24" hidden="0" customHeight="1">
      <x:c r="A1" s="2" t="s">
        <x:v>101</x:v>
      </x:c>
      <x:c r="B1" s="2"/>
    </x:row>
    <x:row r="3" ht="15" hidden="0" customHeight="1">
      <x:c r="A3" s="3" t="s">
        <x:v>88</x:v>
      </x:c>
      <x:c r="B3" s="3" t="s">
        <x:v>1</x:v>
      </x:c>
    </x:row>
    <x:row r="4" ht="15" hidden="0" customHeight="1">
      <x:c r="A4" s="5" t="s">
        <x:v>102</x:v>
      </x:c>
      <x:c r="B4" s="23" t="n">
        <x:v>4.33</x:v>
      </x:c>
    </x:row>
    <x:row r="5" ht="15" hidden="0" customHeight="1">
      <x:c r="A5" s="5" t="s">
        <x:v>103</x:v>
      </x:c>
      <x:c r="B5" s="10" t="n">
        <x:v>0</x:v>
      </x:c>
    </x:row>
    <x:row r="6" ht="15" hidden="0" customHeight="1">
      <x:c r="A6" s="5" t="s">
        <x:v>104</x:v>
      </x:c>
      <x:c r="B6" s="15" t="e">
        <x:f aca="0">Допущения!$B$7*Допущения!$B$13/B4</x:f>
        <x:v>#NAME?</x:v>
      </x:c>
    </x:row>
    <x:row r="7" ht="15" hidden="0" customHeight="1">
      <x:c r="A7" s="5" t="s">
        <x:v>90</x:v>
      </x:c>
      <x:c r="B7" s="13" t="e">
        <x:f aca="0">1/Допущения!$B$35</x:f>
        <x:v>#NAME?</x:v>
      </x:c>
    </x:row>
    <x:row r="8" ht="15" hidden="0" customHeight="1">
      <x:c r="A8" s="5" t="s">
        <x:v>105</x:v>
      </x:c>
      <x:c r="B8" s="15" t="e">
        <x:f aca="0">B7*(B6+Допущения!$B$37)+Допущения!$B$38</x:f>
        <x:v>#NAME?</x:v>
      </x:c>
    </x:row>
    <x:row r="9" ht="15" hidden="0" customHeight="1">
      <x:c r="A9" s="16" t="s">
        <x:v>106</x:v>
      </x:c>
      <x:c r="B9" s="24" t="e">
        <x:f aca="0">'CAC-LTV'!B6+B8</x:f>
        <x:v>#NAME?</x:v>
      </x:c>
    </x:row>
    <x:row r="10" ht="15" hidden="0" customHeight="1">
      <x:c r="A10" s="5" t="s">
        <x:v>107</x:v>
      </x:c>
      <x:c r="B10" s="14" t="e">
        <x:f aca="0">'CAC-LTV'!B8</x:f>
        <x:v>#NAME?</x:v>
      </x:c>
    </x:row>
    <x:row r="11" ht="15" hidden="0" customHeight="1">
      <x:c r="A11" s="5" t="s">
        <x:v>108</x:v>
      </x:c>
      <x:c r="B11" s="14" t="e">
        <x:f aca="0">'CAC-LTV'!B12</x:f>
        <x:v>#NAME?</x:v>
      </x:c>
    </x:row>
    <x:row r="12" ht="15" hidden="0" customHeight="1">
      <x:c r="A12" s="16" t="s">
        <x:v>109</x:v>
      </x:c>
      <x:c r="B12" s="22" t="e">
        <x:f aca="0">B11/B9</x:f>
        <x:v>#NAME?</x:v>
      </x:c>
    </x:row>
    <x:row r="13" ht="15" hidden="0" customHeight="1">
      <x:c r="A13" s="5" t="s">
        <x:v>110</x:v>
      </x:c>
      <x:c r="B13" s="25" t="e">
        <x:f aca="0">'CAC-LTV'!B13</x:f>
        <x:v>#NAME?</x:v>
      </x:c>
    </x:row>
    <x:row r="14" ht="15" hidden="0" customHeight="1">
      <x:c r="A14" s="21" t="s">
        <x:v>111</x:v>
      </x:c>
      <x:c r="B14" s="21"/>
    </x:row>
    <x:row r="15" ht="15" hidden="0" customHeight="1">
      <x:c r="A15" s="21"/>
      <x:c r="B15" s="21"/>
    </x:row>
    <x:row r="16" ht="15" hidden="0" customHeight="1">
      <x:c r="A16" s="21"/>
      <x:c r="B16" s="21"/>
    </x:row>
  </x:sheetData>
  <x:mergeCells>
    <x:mergeCell ref="A1:B1"/>
    <x:mergeCell ref="A14:B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48" style="1" hidden="0" customWidth="1"/>
    <x:col min="2" max="2" width="16" style="1" hidden="0" customWidth="1"/>
  </x:cols>
  <x:sheetData>
    <x:row r="1" ht="24" hidden="0" customHeight="1">
      <x:c r="A1" s="2" t="s">
        <x:v>112</x:v>
      </x:c>
      <x:c r="B1" s="2"/>
    </x:row>
    <x:row r="3" ht="15" hidden="0" customHeight="1">
      <x:c r="A3" s="3" t="s">
        <x:v>88</x:v>
      </x:c>
      <x:c r="B3" s="3" t="s">
        <x:v>1</x:v>
      </x:c>
    </x:row>
    <x:row r="4" ht="15" hidden="0" customHeight="1">
      <x:c r="A4" s="5" t="s">
        <x:v>113</x:v>
      </x:c>
      <x:c r="B4" s="14" t="e">
        <x:f aca="0">Допущения!$B$5</x:f>
        <x:v>#NAME?</x:v>
      </x:c>
    </x:row>
    <x:row r="5" ht="15" hidden="0" customHeight="1">
      <x:c r="A5" s="5" t="s">
        <x:v>114</x:v>
      </x:c>
      <x:c r="B5" s="26" t="e">
        <x:f aca="0">Допущения!$B$27</x:f>
        <x:v>#NAME?</x:v>
      </x:c>
    </x:row>
    <x:row r="6" ht="15" hidden="0" customHeight="1">
      <x:c r="A6" s="5" t="s">
        <x:v>115</x:v>
      </x:c>
      <x:c r="B6" s="14" t="e">
        <x:f aca="0">Допущения!$B$26</x:f>
        <x:v>#NAME?</x:v>
      </x:c>
    </x:row>
    <x:row r="7" ht="15" hidden="0" customHeight="1">
      <x:c r="A7" s="5" t="s">
        <x:v>116</x:v>
      </x:c>
      <x:c r="B7" s="15" t="e">
        <x:f aca="0">B5*B6</x:f>
        <x:v>#NAME?</x:v>
      </x:c>
    </x:row>
    <x:row r="8" ht="15" hidden="0" customHeight="1">
      <x:c r="A8" s="5" t="s">
        <x:v>117</x:v>
      </x:c>
      <x:c r="B8" s="15" t="e">
        <x:f aca="0">B4*Допущения!$B$30</x:f>
        <x:v>#NAME?</x:v>
      </x:c>
    </x:row>
    <x:row r="9" ht="15" hidden="0" customHeight="1">
      <x:c r="A9" s="5" t="s">
        <x:v>118</x:v>
      </x:c>
      <x:c r="B9" s="14" t="e">
        <x:f aca="0">Допущения!$B$31</x:f>
        <x:v>#NAME?</x:v>
      </x:c>
    </x:row>
    <x:row r="10" ht="15" hidden="0" customHeight="1">
      <x:c r="A10" s="16" t="s">
        <x:v>119</x:v>
      </x:c>
      <x:c r="B10" s="24" t="e">
        <x:f aca="0">B4-B7-B8-B9</x:f>
        <x:v>#NAME?</x:v>
      </x:c>
    </x:row>
    <x:row r="11" ht="15" hidden="0" customHeight="1">
      <x:c r="A11" s="5" t="s">
        <x:v>82</x:v>
      </x:c>
      <x:c r="B11" s="12" t="e">
        <x:f aca="0">B10/B4</x:f>
        <x:v>#NAME?</x:v>
      </x:c>
    </x:row>
    <x:row r="12" ht="15" hidden="0" customHeight="1">
      <x:c r="A12" s="5" t="s">
        <x:v>120</x:v>
      </x:c>
      <x:c r="B12" s="27" t="e">
        <x:f aca="0">(B4-B8-B9)/B6</x:f>
        <x:v>#NAME?</x:v>
      </x:c>
    </x:row>
    <x:row r="13" ht="15" hidden="0" customHeight="1">
      <x:c r="A13" s="21" t="s">
        <x:v>121</x:v>
      </x:c>
      <x:c r="B13" s="21"/>
    </x:row>
    <x:row r="14" ht="15" hidden="0" customHeight="1">
      <x:c r="A14" s="21"/>
      <x:c r="B14" s="21"/>
    </x:row>
    <x:row r="15" ht="15" hidden="0" customHeight="1">
      <x:c r="A15" s="21"/>
      <x:c r="B15" s="21"/>
    </x:row>
  </x:sheetData>
  <x:mergeCells>
    <x:mergeCell ref="A1:B1"/>
    <x:mergeCell ref="A13:B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50" style="1" hidden="0" customWidth="1"/>
    <x:col min="2" max="2" width="16" style="1" hidden="0" customWidth="1"/>
  </x:cols>
  <x:sheetData>
    <x:row r="1" ht="24" hidden="0" customHeight="1">
      <x:c r="A1" s="2" t="s">
        <x:v>122</x:v>
      </x:c>
      <x:c r="B1" s="2"/>
    </x:row>
    <x:row r="3" ht="15" hidden="0" customHeight="1">
      <x:c r="A3" s="3" t="s">
        <x:v>88</x:v>
      </x:c>
      <x:c r="B3" s="3" t="s">
        <x:v>1</x:v>
      </x:c>
    </x:row>
    <x:row r="4" ht="15" hidden="0" customHeight="1">
      <x:c r="A4" s="5" t="s">
        <x:v>123</x:v>
      </x:c>
      <x:c r="B4" s="26" t="e">
        <x:f aca="0">Допущения!$B$40</x:f>
        <x:v>#NAME?</x:v>
      </x:c>
    </x:row>
    <x:row r="5" ht="15" hidden="0" customHeight="1">
      <x:c r="A5" s="5" t="s">
        <x:v>124</x:v>
      </x:c>
      <x:c r="B5" s="15" t="e">
        <x:f aca="0">B4*Допущения!$B$7</x:f>
        <x:v>#NAME?</x:v>
      </x:c>
    </x:row>
    <x:row r="6" ht="15" hidden="0" customHeight="1">
      <x:c r="A6" s="5" t="s">
        <x:v>125</x:v>
      </x:c>
      <x:c r="B6" s="15" t="e">
        <x:f aca="0">B5*Допущения!$B$13</x:f>
        <x:v>#NAME?</x:v>
      </x:c>
    </x:row>
    <x:row r="7" ht="15" hidden="0" customHeight="1">
      <x:c r="A7" s="5" t="s">
        <x:v>79</x:v>
      </x:c>
      <x:c r="B7" s="15" t="e">
        <x:f aca="0">B5*Допущения!$B$30</x:f>
        <x:v>#NAME?</x:v>
      </x:c>
    </x:row>
    <x:row r="8" ht="15" hidden="0" customHeight="1">
      <x:c r="A8" s="16" t="s">
        <x:v>126</x:v>
      </x:c>
      <x:c r="B8" s="24" t="e">
        <x:f aca="0">B5-B6-B7</x:f>
        <x:v>#NAME?</x:v>
      </x:c>
    </x:row>
    <x:row r="9" ht="15" hidden="0" customHeight="1">
      <x:c r="A9" s="5" t="s">
        <x:v>127</x:v>
      </x:c>
      <x:c r="B9" s="15" t="e">
        <x:f aca="0">B8/B4</x:f>
        <x:v>#NAME?</x:v>
      </x:c>
    </x:row>
    <x:row r="10" ht="15" hidden="0" customHeight="1">
      <x:c r="A10" s="5" t="s">
        <x:v>128</x:v>
      </x:c>
      <x:c r="B10" s="5" t="e">
        <x:f aca="0">IF(B6&gt;=Допущения!$B$41,"да","нет — доплата")</x:f>
        <x:v>#NAME?</x:v>
      </x:c>
    </x:row>
    <x:row r="11" ht="15" hidden="0" customHeight="1">
      <x:c r="A11" s="5" t="s">
        <x:v>129</x:v>
      </x:c>
      <x:c r="B11" s="15" t="e">
        <x:f aca="0">MAX(0,Допущения!$B$41-B6)</x:f>
        <x:v>#NAME?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52" style="1" hidden="0" customWidth="1"/>
    <x:col min="2" max="2" width="16" style="1" hidden="0" customWidth="1"/>
  </x:cols>
  <x:sheetData>
    <x:row r="1" ht="24" hidden="0" customHeight="1">
      <x:c r="A1" s="2" t="s">
        <x:v>130</x:v>
      </x:c>
      <x:c r="B1" s="2"/>
    </x:row>
    <x:row r="3" ht="15" hidden="0" customHeight="1">
      <x:c r="A3" s="3" t="s">
        <x:v>88</x:v>
      </x:c>
      <x:c r="B3" s="3" t="s">
        <x:v>1</x:v>
      </x:c>
    </x:row>
    <x:row r="4" ht="15" hidden="0" customHeight="1">
      <x:c r="A4" s="4" t="s">
        <x:v>131</x:v>
      </x:c>
      <x:c r="B4" s="4"/>
    </x:row>
    <x:row r="5" ht="15" hidden="0" customHeight="1">
      <x:c r="A5" s="5" t="s">
        <x:v>132</x:v>
      </x:c>
      <x:c r="B5" s="14" t="e">
        <x:f aca="0">Допущения!$B$7</x:f>
        <x:v>#NAME?</x:v>
      </x:c>
    </x:row>
    <x:row r="6" ht="15" hidden="0" customHeight="1">
      <x:c r="A6" s="5" t="s">
        <x:v>133</x:v>
      </x:c>
      <x:c r="B6" s="28" t="n">
        <x:v>12</x:v>
      </x:c>
    </x:row>
    <x:row r="7" ht="15" hidden="0" customHeight="1">
      <x:c r="A7" s="5" t="s">
        <x:v>134</x:v>
      </x:c>
      <x:c r="B7" s="15" t="e">
        <x:f aca="0">B5-B5*Допущения!$B$30</x:f>
        <x:v>#NAME?</x:v>
      </x:c>
    </x:row>
    <x:row r="8" ht="15" hidden="0" customHeight="1">
      <x:c r="A8" s="16" t="s">
        <x:v>135</x:v>
      </x:c>
      <x:c r="B8" s="24" t="e">
        <x:f aca="0">B6*B7-Допущения!$B$32</x:f>
        <x:v>#NAME?</x:v>
      </x:c>
    </x:row>
    <x:row r="9" ht="15" hidden="0" customHeight="1">
      <x:c r="A9" s="4" t="s">
        <x:v>136</x:v>
      </x:c>
      <x:c r="B9" s="4"/>
    </x:row>
    <x:row r="10" ht="15" hidden="0" customHeight="1">
      <x:c r="A10" s="5" t="s">
        <x:v>137</x:v>
      </x:c>
      <x:c r="B10" s="14" t="e">
        <x:f aca="0">Допущения!$B$42</x:f>
        <x:v>#NAME?</x:v>
      </x:c>
    </x:row>
    <x:row r="11" ht="15" hidden="0" customHeight="1">
      <x:c r="A11" s="5" t="s">
        <x:v>138</x:v>
      </x:c>
      <x:c r="B11" s="26" t="e">
        <x:f aca="0">Допущения!$B$40</x:f>
        <x:v>#NAME?</x:v>
      </x:c>
    </x:row>
    <x:row r="12" ht="15" hidden="0" customHeight="1">
      <x:c r="A12" s="5" t="s">
        <x:v>66</x:v>
      </x:c>
      <x:c r="B12" s="14" t="e">
        <x:f aca="0">Допущения!$B$43</x:f>
        <x:v>#NAME?</x:v>
      </x:c>
    </x:row>
    <x:row r="13" ht="15" hidden="0" customHeight="1">
      <x:c r="A13" s="5" t="s">
        <x:v>139</x:v>
      </x:c>
      <x:c r="B13" s="15" t="e">
        <x:f aca="0">B10/B11</x:f>
        <x:v>#NAME?</x:v>
      </x:c>
    </x:row>
    <x:row r="14" ht="15" hidden="0" customHeight="1">
      <x:c r="A14" s="5" t="s">
        <x:v>118</x:v>
      </x:c>
      <x:c r="B14" s="14" t="e">
        <x:f aca="0">Допущения!$B$31</x:f>
        <x:v>#NAME?</x:v>
      </x:c>
    </x:row>
    <x:row r="15" ht="15" hidden="0" customHeight="1">
      <x:c r="A15" s="16" t="s">
        <x:v>140</x:v>
      </x:c>
      <x:c r="B15" s="24" t="e">
        <x:f aca="0">(B13+B12+B14)/(1-Допущения!$B$30)</x:f>
        <x:v>#NAME?</x:v>
      </x:c>
    </x:row>
    <x:row r="16" ht="15" hidden="0" customHeight="1">
      <x:c r="A16" s="5" t="s">
        <x:v>141</x:v>
      </x:c>
      <x:c r="B16" s="15" t="e">
        <x:f aca="0">B15-B5</x:f>
        <x:v>#NAME?</x:v>
      </x:c>
    </x:row>
    <x:row r="17" ht="15" hidden="0" customHeight="1">
      <x:c r="A17" s="5" t="s">
        <x:v>142</x:v>
      </x:c>
      <x:c r="B17" s="12" t="e">
        <x:f aca="0">B16/B5</x:f>
        <x:v>#NAME?</x:v>
      </x:c>
    </x:row>
  </x:sheetData>
  <x:mergeCells>
    <x:mergeCell ref="A1:B1"/>
    <x:mergeCell ref="A4:B4"/>
    <x:mergeCell ref="A9:B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24" style="1" hidden="0" customWidth="1"/>
    <x:col min="2" max="2" width="14" style="1" hidden="0" customWidth="1"/>
    <x:col min="3" max="6" width="10" style="1" hidden="0" customWidth="1"/>
    <x:col min="7" max="8" width="14" style="1" hidden="0" customWidth="1"/>
  </x:cols>
  <x:sheetData>
    <x:row r="1" ht="24" hidden="0" customHeight="1">
      <x:c r="A1" s="2" t="s">
        <x:v>143</x:v>
      </x:c>
      <x:c r="B1" s="2"/>
      <x:c r="C1" s="2"/>
      <x:c r="D1" s="2"/>
      <x:c r="E1" s="2"/>
      <x:c r="F1" s="2"/>
      <x:c r="G1" s="2"/>
      <x:c r="H1" s="2"/>
    </x:row>
    <x:row r="2" ht="26.25" hidden="0" customHeight="1">
      <x:c r="A2" s="3" t="s">
        <x:v>144</x:v>
      </x:c>
      <x:c r="B2" s="3" t="s">
        <x:v>145</x:v>
      </x:c>
      <x:c r="C2" s="3" t="s">
        <x:v>56</x:v>
      </x:c>
      <x:c r="D2" s="3" t="s">
        <x:v>146</x:v>
      </x:c>
      <x:c r="E2" s="3" t="s">
        <x:v>147</x:v>
      </x:c>
      <x:c r="F2" s="3" t="s">
        <x:v>148</x:v>
      </x:c>
      <x:c r="G2" s="3" t="s">
        <x:v>149</x:v>
      </x:c>
      <x:c r="H2" s="3" t="s">
        <x:v>150</x:v>
      </x:c>
    </x:row>
    <x:row r="3" ht="15" hidden="0" customHeight="1">
      <x:c r="A3" s="5" t="s">
        <x:v>151</x:v>
      </x:c>
      <x:c r="B3" s="6" t="n">
        <x:v>60000</x:v>
      </x:c>
      <x:c r="C3" s="6" t="n">
        <x:v>350</x:v>
      </x:c>
      <x:c r="D3" s="27" t="n">
        <x:f aca="0">IF(C3=0,0,B3/C3)</x:f>
        <x:v>171.42857142857142</x:v>
      </x:c>
      <x:c r="E3" s="27" t="e">
        <x:f aca="0">D3*Допущения!$B$34</x:f>
        <x:v>#NAME?</x:v>
      </x:c>
      <x:c r="F3" s="27" t="e">
        <x:f aca="0">E3*Допущения!$B$35</x:f>
        <x:v>#NAME?</x:v>
      </x:c>
      <x:c r="G3" s="15" t="n">
        <x:f aca="0">B3*0.03</x:f>
        <x:v>1800</x:v>
      </x:c>
      <x:c r="H3" s="15" t="n">
        <x:f aca="0">B3+G3</x:f>
        <x:v>61800</x:v>
      </x:c>
    </x:row>
    <x:row r="4" ht="15" hidden="0" customHeight="1">
      <x:c r="A4" s="5" t="s">
        <x:v>152</x:v>
      </x:c>
      <x:c r="B4" s="6" t="n">
        <x:v>40000</x:v>
      </x:c>
      <x:c r="C4" s="6" t="n">
        <x:v>450</x:v>
      </x:c>
      <x:c r="D4" s="27" t="n">
        <x:f aca="0">IF(C4=0,0,B4/C4)</x:f>
        <x:v>88.88888888888889</x:v>
      </x:c>
      <x:c r="E4" s="27" t="e">
        <x:f aca="0">D4*Допущения!$B$34</x:f>
        <x:v>#NAME?</x:v>
      </x:c>
      <x:c r="F4" s="27" t="e">
        <x:f aca="0">E4*Допущения!$B$35</x:f>
        <x:v>#NAME?</x:v>
      </x:c>
      <x:c r="G4" s="15" t="n">
        <x:f aca="0">B4*0.03</x:f>
        <x:v>1200</x:v>
      </x:c>
      <x:c r="H4" s="15" t="n">
        <x:f aca="0">B4+G4</x:f>
        <x:v>41200</x:v>
      </x:c>
    </x:row>
    <x:row r="5" ht="15" hidden="0" customHeight="1">
      <x:c r="A5" s="5" t="s">
        <x:v>153</x:v>
      </x:c>
      <x:c r="B5" s="6" t="n">
        <x:v>20000</x:v>
      </x:c>
      <x:c r="C5" s="6" t="n">
        <x:v>400</x:v>
      </x:c>
      <x:c r="D5" s="27" t="n">
        <x:f aca="0">IF(C5=0,0,B5/C5)</x:f>
        <x:v>50</x:v>
      </x:c>
      <x:c r="E5" s="27" t="e">
        <x:f aca="0">D5*Допущения!$B$34</x:f>
        <x:v>#NAME?</x:v>
      </x:c>
      <x:c r="F5" s="27" t="e">
        <x:f aca="0">E5*Допущения!$B$35</x:f>
        <x:v>#NAME?</x:v>
      </x:c>
      <x:c r="G5" s="15" t="n">
        <x:f aca="0">B5*0.03</x:f>
        <x:v>600</x:v>
      </x:c>
      <x:c r="H5" s="15" t="n">
        <x:f aca="0">B5+G5</x:f>
        <x:v>20600</x:v>
      </x:c>
    </x:row>
    <x:row r="6" ht="15" hidden="0" customHeight="1">
      <x:c r="A6" s="5" t="s">
        <x:v>154</x:v>
      </x:c>
      <x:c r="B6" s="6" t="n">
        <x:v>15000</x:v>
      </x:c>
      <x:c r="C6" s="6" t="n">
        <x:v>250</x:v>
      </x:c>
      <x:c r="D6" s="27" t="n">
        <x:f aca="0">IF(C6=0,0,B6/C6)</x:f>
        <x:v>60</x:v>
      </x:c>
      <x:c r="E6" s="27" t="e">
        <x:f aca="0">D6*Допущения!$B$34</x:f>
        <x:v>#NAME?</x:v>
      </x:c>
      <x:c r="F6" s="27" t="e">
        <x:f aca="0">E6*Допущения!$B$35</x:f>
        <x:v>#NAME?</x:v>
      </x:c>
      <x:c r="G6" s="15" t="n">
        <x:f aca="0">B6*0.03</x:f>
        <x:v>450</x:v>
      </x:c>
      <x:c r="H6" s="15" t="n">
        <x:f aca="0">B6+G6</x:f>
        <x:v>15450</x:v>
      </x:c>
    </x:row>
    <x:row r="7" ht="15" hidden="0" customHeight="1">
      <x:c r="A7" s="5" t="s">
        <x:v>155</x:v>
      </x:c>
      <x:c r="B7" s="6" t="n">
        <x:v>0</x:v>
      </x:c>
      <x:c r="C7" s="6" t="n">
        <x:v>0</x:v>
      </x:c>
      <x:c r="D7" s="27" t="n">
        <x:f aca="0">IF(C7=0,0,B7/C7)</x:f>
        <x:v>0</x:v>
      </x:c>
      <x:c r="E7" s="27" t="e">
        <x:f aca="0">D7*Допущения!$B$34</x:f>
        <x:v>#NAME?</x:v>
      </x:c>
      <x:c r="F7" s="27" t="e">
        <x:f aca="0">E7*Допущения!$B$35</x:f>
        <x:v>#NAME?</x:v>
      </x:c>
      <x:c r="G7" s="15" t="n">
        <x:f aca="0">B7*0.03</x:f>
        <x:v>0</x:v>
      </x:c>
      <x:c r="H7" s="15" t="n">
        <x:f aca="0">B7+G7</x:f>
        <x:v>0</x:v>
      </x:c>
    </x:row>
    <x:row r="8" ht="15" hidden="0" customHeight="1">
      <x:c r="A8" s="16" t="s">
        <x:v>156</x:v>
      </x:c>
      <x:c r="B8" s="17" t="n">
        <x:f aca="0">SUM(B3:B7)</x:f>
        <x:v>135000</x:v>
      </x:c>
      <x:c r="D8" s="29" t="n">
        <x:f aca="0">SUM(D3:D7)</x:f>
        <x:v>370.3174603174603</x:v>
      </x:c>
      <x:c r="E8" s="29" t="e">
        <x:f aca="0">SUM(E3:E7)</x:f>
        <x:v>#NAME?</x:v>
      </x:c>
      <x:c r="F8" s="29" t="e">
        <x:f aca="0">SUM(F3:F7)</x:f>
        <x:v>#NAME?</x:v>
      </x:c>
      <x:c r="G8" s="17" t="n">
        <x:f aca="0">SUM(G3:G7)</x:f>
        <x:v>4050</x:v>
      </x:c>
      <x:c r="H8" s="17" t="n">
        <x:f aca="0">SUM(H3:H7)</x:f>
        <x:v>139050</x:v>
      </x:c>
    </x:row>
    <x:row r="10" ht="15" hidden="0" customHeight="1">
      <x:c r="A10" s="5" t="s">
        <x:v>157</x:v>
      </x:c>
      <x:c r="B10" s="15" t="e">
        <x:f aca="0">IF(F8=0,0,H8/F8)</x:f>
        <x:v>#NAME?</x:v>
      </x:c>
    </x:row>
    <x:row r="11" ht="15" hidden="0" customHeight="1">
      <x:c r="A11" s="5" t="s">
        <x:v>158</x:v>
      </x:c>
      <x:c r="B11" s="29" t="e">
        <x:f aca="0">F8</x:f>
        <x:v>#NAME?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32" style="1" hidden="0" customWidth="1"/>
    <x:col min="2" max="13" width="9" style="1" hidden="0" customWidth="1"/>
  </x:cols>
  <x:sheetData>
    <x:row r="1" ht="24" hidden="0" customHeight="1">
      <x:c r="A1" s="2" t="s">
        <x:v>159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15" hidden="0" customHeight="1">
      <x:c r="A2" s="5" t="s">
        <x:v>95</x:v>
      </x:c>
      <x:c r="B2" s="14" t="e">
        <x:f aca="0">'CAC-LTV'!B10</x:f>
        <x:v>#NAME?</x:v>
      </x:c>
    </x:row>
    <x:row r="3" ht="15" hidden="0" customHeight="1">
      <x:c r="A3" s="5" t="s">
        <x:v>160</x:v>
      </x:c>
      <x:c r="B3" s="14" t="e">
        <x:f aca="0">'CAC-LTV'!B11</x:f>
        <x:v>#NAME?</x:v>
      </x:c>
    </x:row>
    <x:row r="4" ht="15" hidden="0" customHeight="1">
      <x:c r="A4" s="5" t="s">
        <x:v>161</x:v>
      </x:c>
      <x:c r="B4" s="14" t="e">
        <x:f aca="0">'CAC-LTV'!B8</x:f>
        <x:v>#NAME?</x:v>
      </x:c>
    </x:row>
    <x:row r="5" ht="15" hidden="0" customHeight="1">
      <x:c r="A5" s="5" t="s">
        <x:v>162</x:v>
      </x:c>
      <x:c r="B5" s="19" t="e">
        <x:f aca="0">Допущения!$B$45</x:f>
        <x:v>#NAME?</x:v>
      </x:c>
    </x:row>
    <x:row r="7" ht="15" hidden="0" customHeight="1">
      <x:c r="A7" s="3" t="s">
        <x:v>88</x:v>
      </x:c>
      <x:c r="B7" s="3" t="s">
        <x:v>163</x:v>
      </x:c>
      <x:c r="C7" s="3" t="s">
        <x:v>164</x:v>
      </x:c>
      <x:c r="D7" s="3" t="s">
        <x:v>165</x:v>
      </x:c>
      <x:c r="E7" s="3" t="s">
        <x:v>166</x:v>
      </x:c>
      <x:c r="F7" s="3" t="s">
        <x:v>167</x:v>
      </x:c>
      <x:c r="G7" s="3" t="s">
        <x:v>168</x:v>
      </x:c>
      <x:c r="H7" s="3" t="s">
        <x:v>169</x:v>
      </x:c>
      <x:c r="I7" s="3" t="s">
        <x:v>170</x:v>
      </x:c>
      <x:c r="J7" s="3" t="s">
        <x:v>171</x:v>
      </x:c>
      <x:c r="K7" s="3" t="s">
        <x:v>172</x:v>
      </x:c>
      <x:c r="L7" s="3" t="s">
        <x:v>173</x:v>
      </x:c>
      <x:c r="M7" s="3" t="s">
        <x:v>174</x:v>
      </x:c>
    </x:row>
    <x:row r="8" ht="15" hidden="0" customHeight="1">
      <x:c r="A8" s="5" t="s">
        <x:v>175</x:v>
      </x:c>
      <x:c r="B8" s="11" t="n">
        <x:v>6</x:v>
      </x:c>
      <x:c r="C8" s="11" t="n">
        <x:v>10</x:v>
      </x:c>
      <x:c r="D8" s="11" t="n">
        <x:v>14</x:v>
      </x:c>
      <x:c r="E8" s="11" t="n">
        <x:v>18</x:v>
      </x:c>
      <x:c r="F8" s="11" t="n">
        <x:v>22</x:v>
      </x:c>
      <x:c r="G8" s="11" t="n">
        <x:v>26</x:v>
      </x:c>
      <x:c r="H8" s="11" t="n">
        <x:v>30</x:v>
      </x:c>
      <x:c r="I8" s="11" t="n">
        <x:v>34</x:v>
      </x:c>
      <x:c r="J8" s="11" t="n">
        <x:v>38</x:v>
      </x:c>
      <x:c r="K8" s="11" t="n">
        <x:v>42</x:v>
      </x:c>
      <x:c r="L8" s="11" t="n">
        <x:v>46</x:v>
      </x:c>
      <x:c r="M8" s="11" t="n">
        <x:v>50</x:v>
      </x:c>
    </x:row>
    <x:row r="9" ht="15" hidden="0" customHeight="1">
      <x:c r="A9" s="5" t="s">
        <x:v>176</x:v>
      </x:c>
      <x:c r="B9" s="27" t="n">
        <x:v>0</x:v>
      </x:c>
      <x:c r="C9" s="27" t="e">
        <x:f aca="0">B11</x:f>
        <x:v>#VALUE!</x:v>
      </x:c>
      <x:c r="D9" s="27" t="e">
        <x:f aca="0">C11</x:f>
        <x:v>#VALUE!</x:v>
      </x:c>
      <x:c r="E9" s="27" t="e">
        <x:f aca="0">D11</x:f>
        <x:v>#VALUE!</x:v>
      </x:c>
      <x:c r="F9" s="27" t="e">
        <x:f aca="0">E11</x:f>
        <x:v>#VALUE!</x:v>
      </x:c>
      <x:c r="G9" s="27" t="e">
        <x:f aca="0">F11</x:f>
        <x:v>#VALUE!</x:v>
      </x:c>
      <x:c r="H9" s="27" t="e">
        <x:f aca="0">G11</x:f>
        <x:v>#VALUE!</x:v>
      </x:c>
      <x:c r="I9" s="27" t="e">
        <x:f aca="0">H11</x:f>
        <x:v>#VALUE!</x:v>
      </x:c>
      <x:c r="J9" s="27" t="e">
        <x:f aca="0">I11</x:f>
        <x:v>#VALUE!</x:v>
      </x:c>
      <x:c r="K9" s="27" t="e">
        <x:f aca="0">J11</x:f>
        <x:v>#VALUE!</x:v>
      </x:c>
      <x:c r="L9" s="27" t="e">
        <x:f aca="0">K11</x:f>
        <x:v>#VALUE!</x:v>
      </x:c>
      <x:c r="M9" s="27" t="e">
        <x:f aca="0">L11</x:f>
        <x:v>#VALUE!</x:v>
      </x:c>
    </x:row>
    <x:row r="10" ht="15" hidden="0" customHeight="1">
      <x:c r="A10" s="5" t="s">
        <x:v>177</x:v>
      </x:c>
      <x:c r="B10" s="27" t="e">
        <x:f aca="0">ROUND(B9*$B$5,0)</x:f>
        <x:v>#VALUE!</x:v>
      </x:c>
      <x:c r="C10" s="27" t="e">
        <x:f aca="0">ROUND(C9*$B$5,0)</x:f>
        <x:v>#VALUE!</x:v>
      </x:c>
      <x:c r="D10" s="27" t="e">
        <x:f aca="0">ROUND(D9*$B$5,0)</x:f>
        <x:v>#VALUE!</x:v>
      </x:c>
      <x:c r="E10" s="27" t="e">
        <x:f aca="0">ROUND(E9*$B$5,0)</x:f>
        <x:v>#VALUE!</x:v>
      </x:c>
      <x:c r="F10" s="27" t="e">
        <x:f aca="0">ROUND(F9*$B$5,0)</x:f>
        <x:v>#VALUE!</x:v>
      </x:c>
      <x:c r="G10" s="27" t="e">
        <x:f aca="0">ROUND(G9*$B$5,0)</x:f>
        <x:v>#VALUE!</x:v>
      </x:c>
      <x:c r="H10" s="27" t="e">
        <x:f aca="0">ROUND(H9*$B$5,0)</x:f>
        <x:v>#VALUE!</x:v>
      </x:c>
      <x:c r="I10" s="27" t="e">
        <x:f aca="0">ROUND(I9*$B$5,0)</x:f>
        <x:v>#VALUE!</x:v>
      </x:c>
      <x:c r="J10" s="27" t="e">
        <x:f aca="0">ROUND(J9*$B$5,0)</x:f>
        <x:v>#VALUE!</x:v>
      </x:c>
      <x:c r="K10" s="27" t="e">
        <x:f aca="0">ROUND(K9*$B$5,0)</x:f>
        <x:v>#VALUE!</x:v>
      </x:c>
      <x:c r="L10" s="27" t="e">
        <x:f aca="0">ROUND(L9*$B$5,0)</x:f>
        <x:v>#VALUE!</x:v>
      </x:c>
      <x:c r="M10" s="27" t="e">
        <x:f aca="0">ROUND(M9*$B$5,0)</x:f>
        <x:v>#VALUE!</x:v>
      </x:c>
    </x:row>
    <x:row r="11" ht="15" hidden="0" customHeight="1">
      <x:c r="A11" s="5" t="s">
        <x:v>178</x:v>
      </x:c>
      <x:c r="B11" s="29" t="e">
        <x:f aca="0">B9+B8-B10</x:f>
        <x:v>#VALUE!</x:v>
      </x:c>
      <x:c r="C11" s="29" t="e">
        <x:f aca="0">C9+C8-C10</x:f>
        <x:v>#VALUE!</x:v>
      </x:c>
      <x:c r="D11" s="29" t="e">
        <x:f aca="0">D9+D8-D10</x:f>
        <x:v>#VALUE!</x:v>
      </x:c>
      <x:c r="E11" s="29" t="e">
        <x:f aca="0">E9+E8-E10</x:f>
        <x:v>#VALUE!</x:v>
      </x:c>
      <x:c r="F11" s="29" t="e">
        <x:f aca="0">F9+F8-F10</x:f>
        <x:v>#VALUE!</x:v>
      </x:c>
      <x:c r="G11" s="29" t="e">
        <x:f aca="0">G9+G8-G10</x:f>
        <x:v>#VALUE!</x:v>
      </x:c>
      <x:c r="H11" s="29" t="e">
        <x:f aca="0">H9+H8-H10</x:f>
        <x:v>#VALUE!</x:v>
      </x:c>
      <x:c r="I11" s="29" t="e">
        <x:f aca="0">I9+I8-I10</x:f>
        <x:v>#VALUE!</x:v>
      </x:c>
      <x:c r="J11" s="29" t="e">
        <x:f aca="0">J9+J8-J10</x:f>
        <x:v>#VALUE!</x:v>
      </x:c>
      <x:c r="K11" s="29" t="e">
        <x:f aca="0">K9+K8-K10</x:f>
        <x:v>#VALUE!</x:v>
      </x:c>
      <x:c r="L11" s="29" t="e">
        <x:f aca="0">L9+L8-L10</x:f>
        <x:v>#VALUE!</x:v>
      </x:c>
      <x:c r="M11" s="29" t="e">
        <x:f aca="0">M9+M8-M10</x:f>
        <x:v>#VALUE!</x:v>
      </x:c>
    </x:row>
    <x:row r="12" ht="15" hidden="0" customHeight="1">
      <x:c r="A12" s="5" t="s">
        <x:v>179</x:v>
      </x:c>
      <x:c r="B12" s="27" t="e">
        <x:f aca="0">(B9+B11)/2</x:f>
        <x:v>#VALUE!</x:v>
      </x:c>
      <x:c r="C12" s="27" t="e">
        <x:f aca="0">(C9+C11)/2</x:f>
        <x:v>#VALUE!</x:v>
      </x:c>
      <x:c r="D12" s="27" t="e">
        <x:f aca="0">(D9+D11)/2</x:f>
        <x:v>#VALUE!</x:v>
      </x:c>
      <x:c r="E12" s="27" t="e">
        <x:f aca="0">(E9+E11)/2</x:f>
        <x:v>#VALUE!</x:v>
      </x:c>
      <x:c r="F12" s="27" t="e">
        <x:f aca="0">(F9+F11)/2</x:f>
        <x:v>#VALUE!</x:v>
      </x:c>
      <x:c r="G12" s="27" t="e">
        <x:f aca="0">(G9+G11)/2</x:f>
        <x:v>#VALUE!</x:v>
      </x:c>
      <x:c r="H12" s="27" t="e">
        <x:f aca="0">(H9+H11)/2</x:f>
        <x:v>#VALUE!</x:v>
      </x:c>
      <x:c r="I12" s="27" t="e">
        <x:f aca="0">(I9+I11)/2</x:f>
        <x:v>#VALUE!</x:v>
      </x:c>
      <x:c r="J12" s="27" t="e">
        <x:f aca="0">(J9+J11)/2</x:f>
        <x:v>#VALUE!</x:v>
      </x:c>
      <x:c r="K12" s="27" t="e">
        <x:f aca="0">(K9+K11)/2</x:f>
        <x:v>#VALUE!</x:v>
      </x:c>
      <x:c r="L12" s="27" t="e">
        <x:f aca="0">(L9+L11)/2</x:f>
        <x:v>#VALUE!</x:v>
      </x:c>
      <x:c r="M12" s="27" t="e">
        <x:f aca="0">(M9+M11)/2</x:f>
        <x:v>#VALUE!</x:v>
      </x:c>
    </x:row>
    <x:row r="13" ht="15" hidden="0" customHeight="1">
      <x:c r="A13" s="5" t="s">
        <x:v>180</x:v>
      </x:c>
      <x:c r="B13" s="15" t="e">
        <x:f aca="0">B12*$B$2</x:f>
        <x:v>#VALUE!</x:v>
      </x:c>
      <x:c r="C13" s="15" t="e">
        <x:f aca="0">C12*$B$2</x:f>
        <x:v>#VALUE!</x:v>
      </x:c>
      <x:c r="D13" s="15" t="e">
        <x:f aca="0">D12*$B$2</x:f>
        <x:v>#VALUE!</x:v>
      </x:c>
      <x:c r="E13" s="15" t="e">
        <x:f aca="0">E12*$B$2</x:f>
        <x:v>#VALUE!</x:v>
      </x:c>
      <x:c r="F13" s="15" t="e">
        <x:f aca="0">F12*$B$2</x:f>
        <x:v>#VALUE!</x:v>
      </x:c>
      <x:c r="G13" s="15" t="e">
        <x:f aca="0">G12*$B$2</x:f>
        <x:v>#VALUE!</x:v>
      </x:c>
      <x:c r="H13" s="15" t="e">
        <x:f aca="0">H12*$B$2</x:f>
        <x:v>#VALUE!</x:v>
      </x:c>
      <x:c r="I13" s="15" t="e">
        <x:f aca="0">I12*$B$2</x:f>
        <x:v>#VALUE!</x:v>
      </x:c>
      <x:c r="J13" s="15" t="e">
        <x:f aca="0">J12*$B$2</x:f>
        <x:v>#VALUE!</x:v>
      </x:c>
      <x:c r="K13" s="15" t="e">
        <x:f aca="0">K12*$B$2</x:f>
        <x:v>#VALUE!</x:v>
      </x:c>
      <x:c r="L13" s="15" t="e">
        <x:f aca="0">L12*$B$2</x:f>
        <x:v>#VALUE!</x:v>
      </x:c>
      <x:c r="M13" s="15" t="e">
        <x:f aca="0">M12*$B$2</x:f>
        <x:v>#VALUE!</x:v>
      </x:c>
    </x:row>
    <x:row r="14" ht="15" hidden="0" customHeight="1">
      <x:c r="A14" s="5" t="s">
        <x:v>181</x:v>
      </x:c>
      <x:c r="B14" s="15" t="e">
        <x:f aca="0">B12*$B$3</x:f>
        <x:v>#VALUE!</x:v>
      </x:c>
      <x:c r="C14" s="15" t="e">
        <x:f aca="0">C12*$B$3</x:f>
        <x:v>#VALUE!</x:v>
      </x:c>
      <x:c r="D14" s="15" t="e">
        <x:f aca="0">D12*$B$3</x:f>
        <x:v>#VALUE!</x:v>
      </x:c>
      <x:c r="E14" s="15" t="e">
        <x:f aca="0">E12*$B$3</x:f>
        <x:v>#VALUE!</x:v>
      </x:c>
      <x:c r="F14" s="15" t="e">
        <x:f aca="0">F12*$B$3</x:f>
        <x:v>#VALUE!</x:v>
      </x:c>
      <x:c r="G14" s="15" t="e">
        <x:f aca="0">G12*$B$3</x:f>
        <x:v>#VALUE!</x:v>
      </x:c>
      <x:c r="H14" s="15" t="e">
        <x:f aca="0">H12*$B$3</x:f>
        <x:v>#VALUE!</x:v>
      </x:c>
      <x:c r="I14" s="15" t="e">
        <x:f aca="0">I12*$B$3</x:f>
        <x:v>#VALUE!</x:v>
      </x:c>
      <x:c r="J14" s="15" t="e">
        <x:f aca="0">J12*$B$3</x:f>
        <x:v>#VALUE!</x:v>
      </x:c>
      <x:c r="K14" s="15" t="e">
        <x:f aca="0">K12*$B$3</x:f>
        <x:v>#VALUE!</x:v>
      </x:c>
      <x:c r="L14" s="15" t="e">
        <x:f aca="0">L12*$B$3</x:f>
        <x:v>#VALUE!</x:v>
      </x:c>
      <x:c r="M14" s="15" t="e">
        <x:f aca="0">M12*$B$3</x:f>
        <x:v>#VALUE!</x:v>
      </x:c>
    </x:row>
    <x:row r="15" ht="15" hidden="0" customHeight="1">
      <x:c r="A15" s="5" t="s">
        <x:v>182</x:v>
      </x:c>
      <x:c r="B15" s="15" t="e">
        <x:f aca="0">B8*$B$4</x:f>
        <x:v>#NAME?</x:v>
      </x:c>
      <x:c r="C15" s="15" t="e">
        <x:f aca="0">C8*$B$4</x:f>
        <x:v>#NAME?</x:v>
      </x:c>
      <x:c r="D15" s="15" t="e">
        <x:f aca="0">D8*$B$4</x:f>
        <x:v>#NAME?</x:v>
      </x:c>
      <x:c r="E15" s="15" t="e">
        <x:f aca="0">E8*$B$4</x:f>
        <x:v>#NAME?</x:v>
      </x:c>
      <x:c r="F15" s="15" t="e">
        <x:f aca="0">F8*$B$4</x:f>
        <x:v>#NAME?</x:v>
      </x:c>
      <x:c r="G15" s="15" t="e">
        <x:f aca="0">G8*$B$4</x:f>
        <x:v>#NAME?</x:v>
      </x:c>
      <x:c r="H15" s="15" t="e">
        <x:f aca="0">H8*$B$4</x:f>
        <x:v>#NAME?</x:v>
      </x:c>
      <x:c r="I15" s="15" t="e">
        <x:f aca="0">I8*$B$4</x:f>
        <x:v>#NAME?</x:v>
      </x:c>
      <x:c r="J15" s="15" t="e">
        <x:f aca="0">J8*$B$4</x:f>
        <x:v>#NAME?</x:v>
      </x:c>
      <x:c r="K15" s="15" t="e">
        <x:f aca="0">K8*$B$4</x:f>
        <x:v>#NAME?</x:v>
      </x:c>
      <x:c r="L15" s="15" t="e">
        <x:f aca="0">L8*$B$4</x:f>
        <x:v>#NAME?</x:v>
      </x:c>
      <x:c r="M15" s="15" t="e">
        <x:f aca="0">M8*$B$4</x:f>
        <x:v>#NAME?</x:v>
      </x:c>
    </x:row>
    <x:row r="16" ht="15" hidden="0" customHeight="1">
      <x:c r="A16" s="5" t="s">
        <x:v>183</x:v>
      </x:c>
      <x:c r="B16" s="14" t="e">
        <x:f aca="0">Допущения!$B$32</x:f>
        <x:v>#NAME?</x:v>
      </x:c>
      <x:c r="C16" s="14" t="e">
        <x:f aca="0">Допущения!$B$32</x:f>
        <x:v>#NAME?</x:v>
      </x:c>
      <x:c r="D16" s="14" t="e">
        <x:f aca="0">Допущения!$B$32</x:f>
        <x:v>#NAME?</x:v>
      </x:c>
      <x:c r="E16" s="14" t="e">
        <x:f aca="0">Допущения!$B$32</x:f>
        <x:v>#NAME?</x:v>
      </x:c>
      <x:c r="F16" s="14" t="e">
        <x:f aca="0">Допущения!$B$32</x:f>
        <x:v>#NAME?</x:v>
      </x:c>
      <x:c r="G16" s="14" t="e">
        <x:f aca="0">Допущения!$B$32</x:f>
        <x:v>#NAME?</x:v>
      </x:c>
      <x:c r="H16" s="14" t="e">
        <x:f aca="0">Допущения!$B$32</x:f>
        <x:v>#NAME?</x:v>
      </x:c>
      <x:c r="I16" s="14" t="e">
        <x:f aca="0">Допущения!$B$32</x:f>
        <x:v>#NAME?</x:v>
      </x:c>
      <x:c r="J16" s="14" t="e">
        <x:f aca="0">Допущения!$B$32</x:f>
        <x:v>#NAME?</x:v>
      </x:c>
      <x:c r="K16" s="14" t="e">
        <x:f aca="0">Допущения!$B$32</x:f>
        <x:v>#NAME?</x:v>
      </x:c>
      <x:c r="L16" s="14" t="e">
        <x:f aca="0">Допущения!$B$32</x:f>
        <x:v>#NAME?</x:v>
      </x:c>
      <x:c r="M16" s="14" t="e">
        <x:f aca="0">Допущения!$B$32</x:f>
        <x:v>#NAME?</x:v>
      </x:c>
    </x:row>
    <x:row r="17" ht="15" hidden="0" customHeight="1">
      <x:c r="A17" s="16" t="s">
        <x:v>184</x:v>
      </x:c>
      <x:c r="B17" s="17" t="e">
        <x:f aca="0">B14-B15-B16</x:f>
        <x:v>#VALUE!</x:v>
      </x:c>
      <x:c r="C17" s="17" t="e">
        <x:f aca="0">C14-C15-C16</x:f>
        <x:v>#VALUE!</x:v>
      </x:c>
      <x:c r="D17" s="17" t="e">
        <x:f aca="0">D14-D15-D16</x:f>
        <x:v>#VALUE!</x:v>
      </x:c>
      <x:c r="E17" s="17" t="e">
        <x:f aca="0">E14-E15-E16</x:f>
        <x:v>#VALUE!</x:v>
      </x:c>
      <x:c r="F17" s="17" t="e">
        <x:f aca="0">F14-F15-F16</x:f>
        <x:v>#VALUE!</x:v>
      </x:c>
      <x:c r="G17" s="17" t="e">
        <x:f aca="0">G14-G15-G16</x:f>
        <x:v>#VALUE!</x:v>
      </x:c>
      <x:c r="H17" s="17" t="e">
        <x:f aca="0">H14-H15-H16</x:f>
        <x:v>#VALUE!</x:v>
      </x:c>
      <x:c r="I17" s="17" t="e">
        <x:f aca="0">I14-I15-I16</x:f>
        <x:v>#VALUE!</x:v>
      </x:c>
      <x:c r="J17" s="17" t="e">
        <x:f aca="0">J14-J15-J16</x:f>
        <x:v>#VALUE!</x:v>
      </x:c>
      <x:c r="K17" s="17" t="e">
        <x:f aca="0">K14-K15-K16</x:f>
        <x:v>#VALUE!</x:v>
      </x:c>
      <x:c r="L17" s="17" t="e">
        <x:f aca="0">L14-L15-L16</x:f>
        <x:v>#VALUE!</x:v>
      </x:c>
      <x:c r="M17" s="17" t="e">
        <x:f aca="0">M14-M15-M16</x:f>
        <x:v>#VALUE!</x:v>
      </x:c>
    </x:row>
    <x:row r="18" ht="15" hidden="0" customHeight="1">
      <x:c r="A18" s="16" t="s">
        <x:v>185</x:v>
      </x:c>
      <x:c r="B18" s="17" t="e">
        <x:f aca="0">B17</x:f>
        <x:v>#VALUE!</x:v>
      </x:c>
      <x:c r="C18" s="17" t="e">
        <x:f aca="0">B18+C17</x:f>
        <x:v>#VALUE!</x:v>
      </x:c>
      <x:c r="D18" s="17" t="e">
        <x:f aca="0">C18+D17</x:f>
        <x:v>#VALUE!</x:v>
      </x:c>
      <x:c r="E18" s="17" t="e">
        <x:f aca="0">D18+E17</x:f>
        <x:v>#VALUE!</x:v>
      </x:c>
      <x:c r="F18" s="17" t="e">
        <x:f aca="0">E18+F17</x:f>
        <x:v>#VALUE!</x:v>
      </x:c>
      <x:c r="G18" s="17" t="e">
        <x:f aca="0">F18+G17</x:f>
        <x:v>#VALUE!</x:v>
      </x:c>
      <x:c r="H18" s="17" t="e">
        <x:f aca="0">G18+H17</x:f>
        <x:v>#VALUE!</x:v>
      </x:c>
      <x:c r="I18" s="17" t="e">
        <x:f aca="0">H18+I17</x:f>
        <x:v>#VALUE!</x:v>
      </x:c>
      <x:c r="J18" s="17" t="e">
        <x:f aca="0">I18+J17</x:f>
        <x:v>#VALUE!</x:v>
      </x:c>
      <x:c r="K18" s="17" t="e">
        <x:f aca="0">J18+K17</x:f>
        <x:v>#VALUE!</x:v>
      </x:c>
      <x:c r="L18" s="17" t="e">
        <x:f aca="0">K18+L17</x:f>
        <x:v>#VALUE!</x:v>
      </x:c>
      <x:c r="M18" s="17" t="e">
        <x:f aca="0">L18+M17</x:f>
        <x:v>#VALUE!</x:v>
      </x:c>
    </x:row>
  </x:sheetData>
  <x:mergeCells>
    <x:mergeCell ref="A1:M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40" style="1" hidden="0" customWidth="1"/>
    <x:col min="2" max="4" width="15" style="1" hidden="0" customWidth="1"/>
  </x:cols>
  <x:sheetData>
    <x:row r="1" ht="24" hidden="0" customHeight="1">
      <x:c r="A1" s="2" t="s">
        <x:v>186</x:v>
      </x:c>
      <x:c r="B1" s="2"/>
      <x:c r="C1" s="2"/>
      <x:c r="D1" s="2"/>
    </x:row>
    <x:row r="3" ht="15" hidden="0" customHeight="1">
      <x:c r="A3" s="3" t="s">
        <x:v>0</x:v>
      </x:c>
      <x:c r="B3" s="3" t="s">
        <x:v>187</x:v>
      </x:c>
      <x:c r="C3" s="3" t="s">
        <x:v>188</x:v>
      </x:c>
      <x:c r="D3" s="3" t="s">
        <x:v>189</x:v>
      </x:c>
    </x:row>
    <x:row r="4" ht="15" hidden="0" customHeight="1">
      <x:c r="A4" s="4" t="s">
        <x:v>190</x:v>
      </x:c>
      <x:c r="B4" s="4"/>
      <x:c r="C4" s="4"/>
      <x:c r="D4" s="4"/>
    </x:row>
    <x:row r="5" ht="15" hidden="0" customHeight="1">
      <x:c r="A5" s="5" t="s">
        <x:v>56</x:v>
      </x:c>
      <x:c r="B5" s="8" t="n">
        <x:v>600</x:v>
      </x:c>
      <x:c r="C5" s="8" t="n">
        <x:v>400</x:v>
      </x:c>
      <x:c r="D5" s="8" t="n">
        <x:v>280</x:v>
      </x:c>
    </x:row>
    <x:row r="6" ht="15" hidden="0" customHeight="1">
      <x:c r="A6" s="5" t="s">
        <x:v>191</x:v>
      </x:c>
      <x:c r="B6" s="10" t="n">
        <x:v>0.3</x:v>
      </x:c>
      <x:c r="C6" s="10" t="n">
        <x:v>0.4</x:v>
      </x:c>
      <x:c r="D6" s="10" t="n">
        <x:v>0.5</x:v>
      </x:c>
    </x:row>
    <x:row r="7" ht="15" hidden="0" customHeight="1">
      <x:c r="A7" s="5" t="s">
        <x:v>192</x:v>
      </x:c>
      <x:c r="B7" s="10" t="n">
        <x:v>0.2</x:v>
      </x:c>
      <x:c r="C7" s="10" t="n">
        <x:v>0.3</x:v>
      </x:c>
      <x:c r="D7" s="10" t="n">
        <x:v>0.4</x:v>
      </x:c>
    </x:row>
    <x:row r="8" ht="15" hidden="0" customHeight="1">
      <x:c r="A8" s="5" t="s">
        <x:v>193</x:v>
      </x:c>
      <x:c r="B8" s="10" t="n">
        <x:v>0.13</x:v>
      </x:c>
      <x:c r="C8" s="10" t="n">
        <x:v>0.098</x:v>
      </x:c>
      <x:c r="D8" s="10" t="n">
        <x:v>0.07</x:v>
      </x:c>
    </x:row>
    <x:row r="10" ht="15" hidden="0" customHeight="1">
      <x:c r="A10" s="4" t="s">
        <x:v>194</x:v>
      </x:c>
      <x:c r="B10" s="4"/>
      <x:c r="C10" s="4"/>
      <x:c r="D10" s="4"/>
    </x:row>
    <x:row r="11" ht="15" hidden="0" customHeight="1">
      <x:c r="A11" s="5" t="s">
        <x:v>84</x:v>
      </x:c>
      <x:c r="B11" s="13" t="n">
        <x:f aca="0">1/B8</x:f>
        <x:v>7.692307692307692</x:v>
      </x:c>
      <x:c r="C11" s="13" t="n">
        <x:f aca="0">1/C8</x:f>
        <x:v>10.204081632653061</x:v>
      </x:c>
      <x:c r="D11" s="13" t="n">
        <x:f aca="0">1/D8</x:f>
        <x:v>14.285714285714285</x:v>
      </x:c>
    </x:row>
    <x:row r="12" ht="15" hidden="0" customHeight="1">
      <x:c r="A12" s="5" t="s">
        <x:v>195</x:v>
      </x:c>
      <x:c r="B12" s="15" t="e">
        <x:f aca="0">'CAC-LTV'!$B$11*B11</x:f>
        <x:v>#NAME?</x:v>
      </x:c>
      <x:c r="C12" s="15" t="e">
        <x:f aca="0">'CAC-LTV'!$B$11*C11</x:f>
        <x:v>#NAME?</x:v>
      </x:c>
      <x:c r="D12" s="15" t="e">
        <x:f aca="0">'CAC-LTV'!$B$11*D11</x:f>
        <x:v>#NAME?</x:v>
      </x:c>
    </x:row>
    <x:row r="13" ht="15" hidden="0" customHeight="1">
      <x:c r="A13" s="5" t="s">
        <x:v>93</x:v>
      </x:c>
      <x:c r="B13" s="15" t="e">
        <x:f aca="0">(1/(B6*B7))*B5+(1/B7)*Допущения!$B$37+Допущения!$B$38</x:f>
        <x:v>#NAME?</x:v>
      </x:c>
      <x:c r="C13" s="15" t="e">
        <x:f aca="0">(1/(C6*C7))*C5+(1/C7)*Допущения!$B$37+Допущения!$B$38</x:f>
        <x:v>#NAME?</x:v>
      </x:c>
      <x:c r="D13" s="15" t="e">
        <x:f aca="0">(1/(D6*D7))*D5+(1/D7)*Допущения!$B$37+Допущения!$B$38</x:f>
        <x:v>#NAME?</x:v>
      </x:c>
    </x:row>
    <x:row r="14" ht="15" hidden="0" customHeight="1">
      <x:c r="A14" s="16" t="s">
        <x:v>98</x:v>
      </x:c>
      <x:c r="B14" s="22" t="e">
        <x:f aca="0">B12/B13</x:f>
        <x:v>#NAME?</x:v>
      </x:c>
      <x:c r="C14" s="22" t="e">
        <x:f aca="0">C12/C13</x:f>
        <x:v>#NAME?</x:v>
      </x:c>
      <x:c r="D14" s="22" t="e">
        <x:f aca="0">D12/D13</x:f>
        <x:v>#NAME?</x:v>
      </x:c>
    </x:row>
    <x:row r="15" ht="15" hidden="0" customHeight="1">
      <x:c r="A15" s="5" t="s">
        <x:v>196</x:v>
      </x:c>
      <x:c r="B15" s="13" t="e">
        <x:f aca="0">B13/'CAC-LTV'!$B$11</x:f>
        <x:v>#NAME?</x:v>
      </x:c>
      <x:c r="C15" s="13" t="e">
        <x:f aca="0">C13/'CAC-LTV'!$B$11</x:f>
        <x:v>#NAME?</x:v>
      </x:c>
      <x:c r="D15" s="13" t="e">
        <x:f aca="0">D13/'CAC-LTV'!$B$11</x:f>
        <x:v>#NAME?</x:v>
      </x:c>
    </x:row>
  </x:sheetData>
  <x:mergeCells>
    <x:mergeCell ref="A1:D1"/>
    <x:mergeCell ref="A4:D4"/>
    <x:mergeCell ref="A10:D1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20" style="1" hidden="0" customWidth="1"/>
    <x:col min="2" max="5" width="12" style="1" hidden="0" customWidth="1"/>
    <x:col min="8" max="8" width="18" style="1" hidden="0" customWidth="1"/>
  </x:cols>
  <x:sheetData>
    <x:row r="1" ht="24" hidden="0" customHeight="1">
      <x:c r="A1" s="2" t="s">
        <x:v>197</x:v>
      </x:c>
      <x:c r="B1" s="2"/>
      <x:c r="C1" s="2"/>
      <x:c r="D1" s="2"/>
      <x:c r="E1" s="2"/>
      <x:c r="F1" s="2"/>
    </x:row>
    <x:row r="3" ht="15" hidden="0" customHeight="1">
      <x:c r="A3" s="21" t="s">
        <x:v>198</x:v>
      </x:c>
      <x:c r="B3" s="21"/>
      <x:c r="C3" s="21"/>
      <x:c r="D3" s="21"/>
      <x:c r="E3" s="21"/>
      <x:c r="G3" s="5" t="s">
        <x:v>199</x:v>
      </x:c>
      <x:c r="H3" s="14" t="e">
        <x:f aca="0">'CAC-LTV'!B12</x:f>
        <x:v>#NAME?</x:v>
      </x:c>
    </x:row>
    <x:row r="4" ht="15" hidden="0" customHeight="1">
      <x:c r="A4" s="21"/>
      <x:c r="B4" s="21"/>
      <x:c r="C4" s="21"/>
      <x:c r="D4" s="21"/>
      <x:c r="E4" s="21"/>
      <x:c r="G4" s="5" t="s">
        <x:v>191</x:v>
      </x:c>
      <x:c r="H4" s="19" t="e">
        <x:f aca="0">Допущения!$B$34</x:f>
        <x:v>#NAME?</x:v>
      </x:c>
    </x:row>
    <x:row r="6" ht="15" hidden="0" customHeight="1">
      <x:c r="A6" s="30" t="s">
        <x:v>200</x:v>
      </x:c>
      <x:c r="B6" s="31" t="n">
        <x:v>300</x:v>
      </x:c>
      <x:c r="C6" s="31" t="n">
        <x:v>400</x:v>
      </x:c>
      <x:c r="D6" s="31" t="n">
        <x:v>500</x:v>
      </x:c>
      <x:c r="E6" s="31" t="n">
        <x:v>600</x:v>
      </x:c>
    </x:row>
    <x:row r="7" ht="15" hidden="0" customHeight="1">
      <x:c r="A7" s="32" t="n">
        <x:v>0.2</x:v>
      </x:c>
      <x:c r="B7" s="33" t="e">
        <x:f aca="0">$H$3/((1/($H$4*$A7))*B$6+(1/$A7)*Допущения!$B$37+Допущения!$B$38)</x:f>
        <x:v>#NAME?</x:v>
      </x:c>
      <x:c r="C7" s="33" t="e">
        <x:f aca="0">$H$3/((1/($H$4*$A7))*C$6+(1/$A7)*Допущения!$B$37+Допущения!$B$38)</x:f>
        <x:v>#NAME?</x:v>
      </x:c>
      <x:c r="D7" s="33" t="e">
        <x:f aca="0">$H$3/((1/($H$4*$A7))*D$6+(1/$A7)*Допущения!$B$37+Допущения!$B$38)</x:f>
        <x:v>#NAME?</x:v>
      </x:c>
      <x:c r="E7" s="33" t="e">
        <x:f aca="0">$H$3/((1/($H$4*$A7))*E$6+(1/$A7)*Допущения!$B$37+Допущения!$B$38)</x:f>
        <x:v>#NAME?</x:v>
      </x:c>
    </x:row>
    <x:row r="8" ht="15" hidden="0" customHeight="1">
      <x:c r="A8" s="32" t="n">
        <x:v>0.25</x:v>
      </x:c>
      <x:c r="B8" s="33" t="e">
        <x:f aca="0">$H$3/((1/($H$4*$A8))*B$6+(1/$A8)*Допущения!$B$37+Допущения!$B$38)</x:f>
        <x:v>#NAME?</x:v>
      </x:c>
      <x:c r="C8" s="33" t="e">
        <x:f aca="0">$H$3/((1/($H$4*$A8))*C$6+(1/$A8)*Допущения!$B$37+Допущения!$B$38)</x:f>
        <x:v>#NAME?</x:v>
      </x:c>
      <x:c r="D8" s="33" t="e">
        <x:f aca="0">$H$3/((1/($H$4*$A8))*D$6+(1/$A8)*Допущения!$B$37+Допущения!$B$38)</x:f>
        <x:v>#NAME?</x:v>
      </x:c>
      <x:c r="E8" s="33" t="e">
        <x:f aca="0">$H$3/((1/($H$4*$A8))*E$6+(1/$A8)*Допущения!$B$37+Допущения!$B$38)</x:f>
        <x:v>#NAME?</x:v>
      </x:c>
    </x:row>
    <x:row r="9" ht="15" hidden="0" customHeight="1">
      <x:c r="A9" s="32" t="n">
        <x:v>0.3</x:v>
      </x:c>
      <x:c r="B9" s="33" t="e">
        <x:f aca="0">$H$3/((1/($H$4*$A9))*B$6+(1/$A9)*Допущения!$B$37+Допущения!$B$38)</x:f>
        <x:v>#NAME?</x:v>
      </x:c>
      <x:c r="C9" s="33" t="e">
        <x:f aca="0">$H$3/((1/($H$4*$A9))*C$6+(1/$A9)*Допущения!$B$37+Допущения!$B$38)</x:f>
        <x:v>#NAME?</x:v>
      </x:c>
      <x:c r="D9" s="33" t="e">
        <x:f aca="0">$H$3/((1/($H$4*$A9))*D$6+(1/$A9)*Допущения!$B$37+Допущения!$B$38)</x:f>
        <x:v>#NAME?</x:v>
      </x:c>
      <x:c r="E9" s="33" t="e">
        <x:f aca="0">$H$3/((1/($H$4*$A9))*E$6+(1/$A9)*Допущения!$B$37+Допущения!$B$38)</x:f>
        <x:v>#NAME?</x:v>
      </x:c>
    </x:row>
    <x:row r="10" ht="15" hidden="0" customHeight="1">
      <x:c r="A10" s="32" t="n">
        <x:v>0.35</x:v>
      </x:c>
      <x:c r="B10" s="33" t="e">
        <x:f aca="0">$H$3/((1/($H$4*$A10))*B$6+(1/$A10)*Допущения!$B$37+Допущения!$B$38)</x:f>
        <x:v>#NAME?</x:v>
      </x:c>
      <x:c r="C10" s="33" t="e">
        <x:f aca="0">$H$3/((1/($H$4*$A10))*C$6+(1/$A10)*Допущения!$B$37+Допущения!$B$38)</x:f>
        <x:v>#NAME?</x:v>
      </x:c>
      <x:c r="D10" s="33" t="e">
        <x:f aca="0">$H$3/((1/($H$4*$A10))*D$6+(1/$A10)*Допущения!$B$37+Допущения!$B$38)</x:f>
        <x:v>#NAME?</x:v>
      </x:c>
      <x:c r="E10" s="33" t="e">
        <x:f aca="0">$H$3/((1/($H$4*$A10))*E$6+(1/$A10)*Допущения!$B$37+Допущения!$B$38)</x:f>
        <x:v>#NAME?</x:v>
      </x:c>
    </x:row>
    <x:row r="11" ht="15" hidden="0" customHeight="1">
      <x:c r="A11" s="32" t="n">
        <x:v>0.4</x:v>
      </x:c>
      <x:c r="B11" s="33" t="e">
        <x:f aca="0">$H$3/((1/($H$4*$A11))*B$6+(1/$A11)*Допущения!$B$37+Допущения!$B$38)</x:f>
        <x:v>#NAME?</x:v>
      </x:c>
      <x:c r="C11" s="33" t="e">
        <x:f aca="0">$H$3/((1/($H$4*$A11))*C$6+(1/$A11)*Допущения!$B$37+Допущения!$B$38)</x:f>
        <x:v>#NAME?</x:v>
      </x:c>
      <x:c r="D11" s="33" t="e">
        <x:f aca="0">$H$3/((1/($H$4*$A11))*D$6+(1/$A11)*Допущения!$B$37+Допущения!$B$38)</x:f>
        <x:v>#NAME?</x:v>
      </x:c>
      <x:c r="E11" s="33" t="e">
        <x:f aca="0">$H$3/((1/($H$4*$A11))*E$6+(1/$A11)*Допущения!$B$37+Допущения!$B$38)</x:f>
        <x:v>#NAME?</x:v>
      </x:c>
    </x:row>
  </x:sheetData>
  <x:mergeCells>
    <x:mergeCell ref="A1:F1"/>
    <x:mergeCell ref="A3:E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10" style="1" hidden="0" customWidth="1"/>
    <x:col min="2" max="6" width="18" style="1" hidden="0" customWidth="1"/>
  </x:cols>
  <x:sheetData>
    <x:row r="1" ht="24" hidden="0" customHeight="1">
      <x:c r="A1" s="2" t="s">
        <x:v>201</x:v>
      </x:c>
      <x:c r="B1" s="2"/>
      <x:c r="C1" s="2"/>
      <x:c r="D1" s="2"/>
      <x:c r="E1" s="2"/>
      <x:c r="F1" s="2"/>
    </x:row>
    <x:row r="3" ht="15" hidden="0" customHeight="1">
      <x:c r="A3" s="5" t="s">
        <x:v>202</x:v>
      </x:c>
      <x:c r="B3" s="28" t="n">
        <x:v>100</x:v>
      </x:c>
    </x:row>
    <x:row r="4" ht="15" hidden="0" customHeight="1">
      <x:c r="A4" s="5" t="s">
        <x:v>162</x:v>
      </x:c>
      <x:c r="B4" s="19" t="e">
        <x:f aca="0">Допущения!$B$45</x:f>
        <x:v>#NAME?</x:v>
      </x:c>
    </x:row>
    <x:row r="5" ht="15" hidden="0" customHeight="1">
      <x:c r="A5" s="5" t="s">
        <x:v>119</x:v>
      </x:c>
      <x:c r="B5" s="14" t="e">
        <x:f aca="0">'CAC-LTV'!B11</x:f>
        <x:v>#NAME?</x:v>
      </x:c>
    </x:row>
    <x:row r="7" ht="15" hidden="0" customHeight="1">
      <x:c r="A7" s="3" t="s">
        <x:v>203</x:v>
      </x:c>
      <x:c r="B7" s="3" t="s">
        <x:v>204</x:v>
      </x:c>
      <x:c r="C7" s="3" t="s">
        <x:v>177</x:v>
      </x:c>
      <x:c r="D7" s="3" t="s">
        <x:v>205</x:v>
      </x:c>
      <x:c r="E7" s="3" t="s">
        <x:v>206</x:v>
      </x:c>
      <x:c r="F7" s="3" t="s">
        <x:v>207</x:v>
      </x:c>
    </x:row>
    <x:row r="8" ht="15" hidden="0" customHeight="1">
      <x:c r="A8" s="27" t="n">
        <x:v>1</x:v>
      </x:c>
      <x:c r="B8" s="27" t="n">
        <x:f aca="0">$B$3</x:f>
        <x:v>100</x:v>
      </x:c>
      <x:c r="C8" s="27" t="e">
        <x:f aca="0">B8*$B$4</x:f>
        <x:v>#NAME?</x:v>
      </x:c>
      <x:c r="D8" s="27" t="e">
        <x:f aca="0">B8-C8</x:f>
        <x:v>#NAME?</x:v>
      </x:c>
      <x:c r="E8" s="15" t="e">
        <x:f aca="0">(B8+D8)/2*$B$5</x:f>
        <x:v>#NAME?</x:v>
      </x:c>
      <x:c r="F8" s="15" t="e">
        <x:f aca="0">E8</x:f>
        <x:v>#NAME?</x:v>
      </x:c>
    </x:row>
    <x:row r="9" ht="15" hidden="0" customHeight="1">
      <x:c r="A9" s="27" t="n">
        <x:v>2</x:v>
      </x:c>
      <x:c r="B9" s="27" t="e">
        <x:f aca="0">D8</x:f>
        <x:v>#NAME?</x:v>
      </x:c>
      <x:c r="C9" s="27" t="e">
        <x:f aca="0">B9*$B$4</x:f>
        <x:v>#NAME?</x:v>
      </x:c>
      <x:c r="D9" s="27" t="e">
        <x:f aca="0">B9-C9</x:f>
        <x:v>#NAME?</x:v>
      </x:c>
      <x:c r="E9" s="15" t="e">
        <x:f aca="0">(B9+D9)/2*$B$5</x:f>
        <x:v>#NAME?</x:v>
      </x:c>
      <x:c r="F9" s="15" t="e">
        <x:f aca="0">F8+E9</x:f>
        <x:v>#NAME?</x:v>
      </x:c>
    </x:row>
    <x:row r="10" ht="15" hidden="0" customHeight="1">
      <x:c r="A10" s="27" t="n">
        <x:v>3</x:v>
      </x:c>
      <x:c r="B10" s="27" t="e">
        <x:f aca="0">D9</x:f>
        <x:v>#NAME?</x:v>
      </x:c>
      <x:c r="C10" s="27" t="e">
        <x:f aca="0">B10*$B$4</x:f>
        <x:v>#NAME?</x:v>
      </x:c>
      <x:c r="D10" s="27" t="e">
        <x:f aca="0">B10-C10</x:f>
        <x:v>#NAME?</x:v>
      </x:c>
      <x:c r="E10" s="15" t="e">
        <x:f aca="0">(B10+D10)/2*$B$5</x:f>
        <x:v>#NAME?</x:v>
      </x:c>
      <x:c r="F10" s="15" t="e">
        <x:f aca="0">F9+E10</x:f>
        <x:v>#NAME?</x:v>
      </x:c>
    </x:row>
    <x:row r="11" ht="15" hidden="0" customHeight="1">
      <x:c r="A11" s="27" t="n">
        <x:v>4</x:v>
      </x:c>
      <x:c r="B11" s="27" t="e">
        <x:f aca="0">D10</x:f>
        <x:v>#NAME?</x:v>
      </x:c>
      <x:c r="C11" s="27" t="e">
        <x:f aca="0">B11*$B$4</x:f>
        <x:v>#NAME?</x:v>
      </x:c>
      <x:c r="D11" s="27" t="e">
        <x:f aca="0">B11-C11</x:f>
        <x:v>#NAME?</x:v>
      </x:c>
      <x:c r="E11" s="15" t="e">
        <x:f aca="0">(B11+D11)/2*$B$5</x:f>
        <x:v>#NAME?</x:v>
      </x:c>
      <x:c r="F11" s="15" t="e">
        <x:f aca="0">F10+E11</x:f>
        <x:v>#NAME?</x:v>
      </x:c>
    </x:row>
    <x:row r="12" ht="15" hidden="0" customHeight="1">
      <x:c r="A12" s="27" t="n">
        <x:v>5</x:v>
      </x:c>
      <x:c r="B12" s="27" t="e">
        <x:f aca="0">D11</x:f>
        <x:v>#NAME?</x:v>
      </x:c>
      <x:c r="C12" s="27" t="e">
        <x:f aca="0">B12*$B$4</x:f>
        <x:v>#NAME?</x:v>
      </x:c>
      <x:c r="D12" s="27" t="e">
        <x:f aca="0">B12-C12</x:f>
        <x:v>#NAME?</x:v>
      </x:c>
      <x:c r="E12" s="15" t="e">
        <x:f aca="0">(B12+D12)/2*$B$5</x:f>
        <x:v>#NAME?</x:v>
      </x:c>
      <x:c r="F12" s="15" t="e">
        <x:f aca="0">F11+E12</x:f>
        <x:v>#NAME?</x:v>
      </x:c>
    </x:row>
    <x:row r="13" ht="15" hidden="0" customHeight="1">
      <x:c r="A13" s="27" t="n">
        <x:v>6</x:v>
      </x:c>
      <x:c r="B13" s="27" t="e">
        <x:f aca="0">D12</x:f>
        <x:v>#NAME?</x:v>
      </x:c>
      <x:c r="C13" s="27" t="e">
        <x:f aca="0">B13*$B$4</x:f>
        <x:v>#NAME?</x:v>
      </x:c>
      <x:c r="D13" s="27" t="e">
        <x:f aca="0">B13-C13</x:f>
        <x:v>#NAME?</x:v>
      </x:c>
      <x:c r="E13" s="15" t="e">
        <x:f aca="0">(B13+D13)/2*$B$5</x:f>
        <x:v>#NAME?</x:v>
      </x:c>
      <x:c r="F13" s="15" t="e">
        <x:f aca="0">F12+E13</x:f>
        <x:v>#NAME?</x:v>
      </x:c>
    </x:row>
    <x:row r="14" ht="15" hidden="0" customHeight="1">
      <x:c r="A14" s="27" t="n">
        <x:v>7</x:v>
      </x:c>
      <x:c r="B14" s="27" t="e">
        <x:f aca="0">D13</x:f>
        <x:v>#NAME?</x:v>
      </x:c>
      <x:c r="C14" s="27" t="e">
        <x:f aca="0">B14*$B$4</x:f>
        <x:v>#NAME?</x:v>
      </x:c>
      <x:c r="D14" s="27" t="e">
        <x:f aca="0">B14-C14</x:f>
        <x:v>#NAME?</x:v>
      </x:c>
      <x:c r="E14" s="15" t="e">
        <x:f aca="0">(B14+D14)/2*$B$5</x:f>
        <x:v>#NAME?</x:v>
      </x:c>
      <x:c r="F14" s="15" t="e">
        <x:f aca="0">F13+E14</x:f>
        <x:v>#NAME?</x:v>
      </x:c>
    </x:row>
    <x:row r="15" ht="15" hidden="0" customHeight="1">
      <x:c r="A15" s="27" t="n">
        <x:v>8</x:v>
      </x:c>
      <x:c r="B15" s="27" t="e">
        <x:f aca="0">D14</x:f>
        <x:v>#NAME?</x:v>
      </x:c>
      <x:c r="C15" s="27" t="e">
        <x:f aca="0">B15*$B$4</x:f>
        <x:v>#NAME?</x:v>
      </x:c>
      <x:c r="D15" s="27" t="e">
        <x:f aca="0">B15-C15</x:f>
        <x:v>#NAME?</x:v>
      </x:c>
      <x:c r="E15" s="15" t="e">
        <x:f aca="0">(B15+D15)/2*$B$5</x:f>
        <x:v>#NAME?</x:v>
      </x:c>
      <x:c r="F15" s="15" t="e">
        <x:f aca="0">F14+E15</x:f>
        <x:v>#NAME?</x:v>
      </x:c>
    </x:row>
    <x:row r="16" ht="15" hidden="0" customHeight="1">
      <x:c r="A16" s="27" t="n">
        <x:v>9</x:v>
      </x:c>
      <x:c r="B16" s="27" t="e">
        <x:f aca="0">D15</x:f>
        <x:v>#NAME?</x:v>
      </x:c>
      <x:c r="C16" s="27" t="e">
        <x:f aca="0">B16*$B$4</x:f>
        <x:v>#NAME?</x:v>
      </x:c>
      <x:c r="D16" s="27" t="e">
        <x:f aca="0">B16-C16</x:f>
        <x:v>#NAME?</x:v>
      </x:c>
      <x:c r="E16" s="15" t="e">
        <x:f aca="0">(B16+D16)/2*$B$5</x:f>
        <x:v>#NAME?</x:v>
      </x:c>
      <x:c r="F16" s="15" t="e">
        <x:f aca="0">F15+E16</x:f>
        <x:v>#NAME?</x:v>
      </x:c>
    </x:row>
    <x:row r="17" ht="15" hidden="0" customHeight="1">
      <x:c r="A17" s="27" t="n">
        <x:v>10</x:v>
      </x:c>
      <x:c r="B17" s="27" t="e">
        <x:f aca="0">D16</x:f>
        <x:v>#NAME?</x:v>
      </x:c>
      <x:c r="C17" s="27" t="e">
        <x:f aca="0">B17*$B$4</x:f>
        <x:v>#NAME?</x:v>
      </x:c>
      <x:c r="D17" s="27" t="e">
        <x:f aca="0">B17-C17</x:f>
        <x:v>#NAME?</x:v>
      </x:c>
      <x:c r="E17" s="15" t="e">
        <x:f aca="0">(B17+D17)/2*$B$5</x:f>
        <x:v>#NAME?</x:v>
      </x:c>
      <x:c r="F17" s="15" t="e">
        <x:f aca="0">F16+E17</x:f>
        <x:v>#NAME?</x:v>
      </x:c>
    </x:row>
    <x:row r="18" ht="15" hidden="0" customHeight="1">
      <x:c r="A18" s="27" t="n">
        <x:v>11</x:v>
      </x:c>
      <x:c r="B18" s="27" t="e">
        <x:f aca="0">D17</x:f>
        <x:v>#NAME?</x:v>
      </x:c>
      <x:c r="C18" s="27" t="e">
        <x:f aca="0">B18*$B$4</x:f>
        <x:v>#NAME?</x:v>
      </x:c>
      <x:c r="D18" s="27" t="e">
        <x:f aca="0">B18-C18</x:f>
        <x:v>#NAME?</x:v>
      </x:c>
      <x:c r="E18" s="15" t="e">
        <x:f aca="0">(B18+D18)/2*$B$5</x:f>
        <x:v>#NAME?</x:v>
      </x:c>
      <x:c r="F18" s="15" t="e">
        <x:f aca="0">F17+E18</x:f>
        <x:v>#NAME?</x:v>
      </x:c>
    </x:row>
    <x:row r="19" ht="15" hidden="0" customHeight="1">
      <x:c r="A19" s="27" t="n">
        <x:v>12</x:v>
      </x:c>
      <x:c r="B19" s="27" t="e">
        <x:f aca="0">D18</x:f>
        <x:v>#NAME?</x:v>
      </x:c>
      <x:c r="C19" s="27" t="e">
        <x:f aca="0">B19*$B$4</x:f>
        <x:v>#NAME?</x:v>
      </x:c>
      <x:c r="D19" s="27" t="e">
        <x:f aca="0">B19-C19</x:f>
        <x:v>#NAME?</x:v>
      </x:c>
      <x:c r="E19" s="15" t="e">
        <x:f aca="0">(B19+D19)/2*$B$5</x:f>
        <x:v>#NAME?</x:v>
      </x:c>
      <x:c r="F19" s="15" t="e">
        <x:f aca="0">F18+E19</x:f>
        <x:v>#NAME?</x:v>
      </x:c>
    </x:row>
    <x:row r="21" ht="15" hidden="0" customHeight="1">
      <x:c r="A21" s="16" t="s">
        <x:v>208</x:v>
      </x:c>
      <x:c r="E21" s="24" t="e">
        <x:f aca="0">F19/$B$3</x:f>
        <x:v>#NAME?</x:v>
      </x:c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171875" defaultRowHeight="15"/>
  <x:cols>
    <x:col min="1" max="1" width="50" style="1" hidden="0" customWidth="1"/>
    <x:col min="2" max="2" width="16" style="1" hidden="0" customWidth="1"/>
  </x:cols>
  <x:sheetData>
    <x:row r="1" ht="24" hidden="0" customHeight="1">
      <x:c r="A1" s="2" t="s">
        <x:v>209</x:v>
      </x:c>
      <x:c r="B1" s="2"/>
    </x:row>
    <x:row r="3" ht="15" hidden="0" customHeight="1">
      <x:c r="A3" s="3" t="s">
        <x:v>88</x:v>
      </x:c>
      <x:c r="B3" s="3" t="s">
        <x:v>1</x:v>
      </x:c>
    </x:row>
    <x:row r="4" ht="15" hidden="0" customHeight="1">
      <x:c r="A4" s="5" t="s">
        <x:v>210</x:v>
      </x:c>
      <x:c r="B4" s="14" t="e">
        <x:f aca="0">'CAC-LTV'!B11</x:f>
        <x:v>#NAME?</x:v>
      </x:c>
    </x:row>
    <x:row r="5" ht="15" hidden="0" customHeight="1">
      <x:c r="A5" s="5" t="s">
        <x:v>50</x:v>
      </x:c>
      <x:c r="B5" s="14" t="e">
        <x:f aca="0">Допущения!$B$32</x:f>
        <x:v>#NAME?</x:v>
      </x:c>
    </x:row>
    <x:row r="6" ht="15" hidden="0" customHeight="1">
      <x:c r="A6" s="16" t="s">
        <x:v>211</x:v>
      </x:c>
      <x:c r="B6" s="34" t="e">
        <x:f aca="0">ROUNDUP(B5/B4,0)</x:f>
        <x:v>#NAME?</x:v>
      </x:c>
    </x:row>
    <x:row r="7" ht="15" hidden="0" customHeight="1">
      <x:c r="A7" s="5" t="s">
        <x:v>212</x:v>
      </x:c>
      <x:c r="B7" s="14" t="e">
        <x:f aca="0">Допущения!$B$41</x:f>
        <x:v>#NAME?</x:v>
      </x:c>
    </x:row>
    <x:row r="8" ht="15" hidden="0" customHeight="1">
      <x:c r="A8" s="16" t="s">
        <x:v>213</x:v>
      </x:c>
      <x:c r="B8" s="34" t="e">
        <x:f aca="0">ROUNDUP((B5+B7)/B4,0)</x:f>
        <x:v>#NAME?</x:v>
      </x:c>
    </x:row>
  </x:sheetData>
  <x:mergeCells>
    <x:mergeCell ref="A1:B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88" t="str">
        <x:v>Pro Спорт · founder-led пилот — денежная и нормализованная экономика</x:v>
      </x:c>
      <x:c r="B1" s="88"/>
      <x:c r="C1" s="88"/>
      <x:c r="D1" s="88"/>
      <x:c r="E1" s="88"/>
      <x:c r="F1" s="88"/>
      <x:c r="G1" s="88"/>
      <x:c r="H1" s="88"/>
    </x:row>
    <x:row r="2">
      <x:c r="A2" s="41" t="str">
        <x:v>Канон 2026-07-28: основатель совмещает куратора и специалиста по тренировкам; публичный лимит 4 клиента. Жёлтые ячейки — допущения.</x:v>
      </x:c>
      <x:c r="B2" s="41"/>
      <x:c r="C2" s="41"/>
      <x:c r="D2" s="41"/>
      <x:c r="E2" s="41"/>
      <x:c r="F2" s="41"/>
      <x:c r="G2" s="41"/>
      <x:c r="H2" s="41"/>
    </x:row>
    <x:row r="3">
      <x:c r="A3" s="89"/>
      <x:c r="B3" s="89"/>
      <x:c r="C3" s="89"/>
      <x:c r="D3" s="89"/>
      <x:c r="E3" s="89"/>
      <x:c r="F3" s="89"/>
      <x:c r="G3" s="89"/>
      <x:c r="H3" s="89"/>
    </x:row>
    <x:row r="4">
      <x:c r="A4" s="90" t="str">
        <x:v>ДОПУЩЕНИЯ</x:v>
      </x:c>
      <x:c r="B4" s="90"/>
      <x:c r="C4" s="90"/>
      <x:c r="D4" s="90"/>
      <x:c r="E4" s="90"/>
      <x:c r="F4" s="90"/>
      <x:c r="G4" s="90"/>
      <x:c r="H4" s="90"/>
    </x:row>
    <x:row r="5">
      <x:c r="A5" s="56" t="str">
        <x:v>Параметр</x:v>
      </x:c>
      <x:c r="B5" s="57" t="str">
        <x:v>Значение</x:v>
      </x:c>
      <x:c r="C5" s="57" t="str">
        <x:v>Ед.</x:v>
      </x:c>
      <x:c r="D5" s="58" t="str">
        <x:v>Комментарий</x:v>
      </x:c>
      <x:c r="E5" s="89"/>
      <x:c r="F5" s="89"/>
      <x:c r="G5" s="89"/>
      <x:c r="H5" s="89"/>
    </x:row>
    <x:row r="6">
      <x:c r="A6" s="63" t="str">
        <x:v>Цена пилота</x:v>
      </x:c>
      <x:c r="B6" s="68" t="n">
        <x:v>19990</x:v>
      </x:c>
      <x:c r="C6" s="63" t="str">
        <x:v>₽/мес</x:v>
      </x:c>
      <x:c r="D6" s="63" t="str">
        <x:v>Первые 4 клиента при непрерывном участии</x:v>
      </x:c>
      <x:c r="E6" s="89"/>
      <x:c r="F6" s="89"/>
      <x:c r="G6" s="89"/>
      <x:c r="H6" s="89"/>
    </x:row>
    <x:row r="7">
      <x:c r="A7" s="63" t="str">
        <x:v>Цена следующего набора</x:v>
      </x:c>
      <x:c r="B7" s="68" t="n">
        <x:v>26990</x:v>
      </x:c>
      <x:c r="C7" s="63" t="str">
        <x:v>₽/мес</x:v>
      </x:c>
      <x:c r="D7" s="63" t="str">
        <x:v>Не активна в платёжном source</x:v>
      </x:c>
      <x:c r="E7" s="89"/>
      <x:c r="F7" s="89"/>
      <x:c r="G7" s="89"/>
      <x:c r="H7" s="89"/>
    </x:row>
    <x:row r="8">
      <x:c r="A8" s="63" t="str">
        <x:v>Отклонённая старая цена</x:v>
      </x:c>
      <x:c r="B8" s="68" t="n">
        <x:v>14990</x:v>
      </x:c>
      <x:c r="C8" s="63" t="str">
        <x:v>₽/мес</x:v>
      </x:c>
      <x:c r="D8" s="63" t="str">
        <x:v>Только для сравнения экономики</x:v>
      </x:c>
      <x:c r="E8" s="89"/>
      <x:c r="F8" s="89"/>
      <x:c r="G8" s="89"/>
      <x:c r="H8" s="89"/>
    </x:row>
    <x:row r="9">
      <x:c r="A9" s="63" t="str">
        <x:v>Эквайринг</x:v>
      </x:c>
      <x:c r="B9" s="69" t="n">
        <x:v>0.035</x:v>
      </x:c>
      <x:c r="C9" s="63" t="str">
        <x:v>%</x:v>
      </x:c>
      <x:c r="D9" s="63" t="str">
        <x:v>Текущее допущение ЮKassa</x:v>
      </x:c>
      <x:c r="E9" s="89"/>
      <x:c r="F9" s="89"/>
      <x:c r="G9" s="89"/>
      <x:c r="H9" s="89"/>
    </x:row>
    <x:row r="10">
      <x:c r="A10" s="63" t="str">
        <x:v>Инфраструктура/клиент</x:v>
      </x:c>
      <x:c r="B10" s="68" t="n">
        <x:v>50</x:v>
      </x:c>
      <x:c r="C10" s="63" t="str">
        <x:v>₽/мес</x:v>
      </x:c>
      <x:c r="D10" s="63" t="str">
        <x:v>Аллокация</x:v>
      </x:c>
      <x:c r="E10" s="89"/>
      <x:c r="F10" s="89"/>
      <x:c r="G10" s="89"/>
      <x:c r="H10" s="89"/>
    </x:row>
    <x:row r="11">
      <x:c r="A11" s="63" t="str">
        <x:v>Нормализованная стоимость куратора</x:v>
      </x:c>
      <x:c r="B11" s="68" t="n">
        <x:v>6250</x:v>
      </x:c>
      <x:c r="C11" s="63" t="str">
        <x:v>₽/клиент</x:v>
      </x:c>
      <x:c r="D11" s="63" t="str">
        <x:v>75 000 ₽ / 12 клиентов</x:v>
      </x:c>
      <x:c r="E11" s="89"/>
      <x:c r="F11" s="89"/>
      <x:c r="G11" s="89"/>
      <x:c r="H11" s="89"/>
    </x:row>
    <x:row r="12">
      <x:c r="A12" s="63" t="str">
        <x:v>Референсная ставка времени</x:v>
      </x:c>
      <x:c r="B12" s="68" t="n">
        <x:v>1500</x:v>
      </x:c>
      <x:c r="C12" s="63" t="str">
        <x:v>₽/ч</x:v>
      </x:c>
      <x:c r="D12" s="63" t="str">
        <x:v>Для тренировочной функции и эквивалента часов</x:v>
      </x:c>
      <x:c r="E12" s="89"/>
      <x:c r="F12" s="89"/>
      <x:c r="G12" s="89"/>
      <x:c r="H12" s="89"/>
    </x:row>
    <x:row r="13">
      <x:c r="A13" s="63" t="str">
        <x:v>Кураторская функция, эквивалент</x:v>
      </x:c>
      <x:c r="B13" s="70" t="n">
        <x:f>B11/B12</x:f>
        <x:v>4.166666666666667</x:v>
      </x:c>
      <x:c r="C13" s="63" t="str">
        <x:v>ч/клиент</x:v>
      </x:c>
      <x:c r="D13" s="63" t="str">
        <x:v>6 250 ₽ / 1 500 ₽; capacity-ориентир, не публичный SLA</x:v>
      </x:c>
      <x:c r="E13" s="89"/>
      <x:c r="F13" s="89"/>
      <x:c r="G13" s="89"/>
      <x:c r="H13" s="89"/>
    </x:row>
    <x:row r="14">
      <x:c r="A14" s="63" t="str">
        <x:v>Тренировочная функция</x:v>
      </x:c>
      <x:c r="B14" s="70" t="n">
        <x:v>5.4</x:v>
      </x:c>
      <x:c r="C14" s="63" t="str">
        <x:v>ч/клиент</x:v>
      </x:c>
      <x:c r="D14" s="63" t="str">
        <x:v>Нормализованная месячная нагрузка</x:v>
      </x:c>
      <x:c r="E14" s="89"/>
      <x:c r="F14" s="89"/>
      <x:c r="G14" s="89"/>
      <x:c r="H14" s="89"/>
    </x:row>
    <x:row r="15">
      <x:c r="A15" s="63" t="str">
        <x:v>Стартовая нагрузка первого месяца</x:v>
      </x:c>
      <x:c r="B15" s="70" t="n">
        <x:v>1</x:v>
      </x:c>
      <x:c r="C15" s="63" t="str">
        <x:v>ч/клиент</x:v>
      </x:c>
      <x:c r="D15" s="63" t="str">
        <x:v>Разовый стартовый разбор</x:v>
      </x:c>
      <x:c r="E15" s="89"/>
      <x:c r="F15" s="89"/>
      <x:c r="G15" s="89"/>
      <x:c r="H15" s="89"/>
    </x:row>
    <x:row r="16">
      <x:c r="A16" s="63" t="str">
        <x:v>План founder-time, регулярный месяц</x:v>
      </x:c>
      <x:c r="B16" s="70" t="n">
        <x:f>B13+B14</x:f>
        <x:v>9.566666666666666</x:v>
      </x:c>
      <x:c r="C16" s="63" t="str">
        <x:v>ч/клиент</x:v>
      </x:c>
      <x:c r="D16" s="63" t="str">
        <x:v>Кураторская + тренировочная функция; замерять фактом</x:v>
      </x:c>
      <x:c r="E16" s="89"/>
      <x:c r="F16" s="89"/>
      <x:c r="G16" s="89"/>
      <x:c r="H16" s="89"/>
    </x:row>
    <x:row r="17">
      <x:c r="A17" s="64" t="str">
        <x:v>Публичная ёмкость пилота</x:v>
      </x:c>
      <x:c r="B17" s="71" t="n">
        <x:v>4</x:v>
      </x:c>
      <x:c r="C17" s="64" t="str">
        <x:v>клиента</x:v>
      </x:c>
      <x:c r="D17" s="64" t="str">
        <x:v>Расширение только после ретроспективы</x:v>
      </x:c>
      <x:c r="E17" s="89"/>
      <x:c r="F17" s="89"/>
      <x:c r="G17" s="89"/>
      <x:c r="H17" s="89"/>
    </x:row>
    <x:row r="18">
      <x:c r="A18" s="89"/>
      <x:c r="B18" s="89"/>
      <x:c r="C18" s="89"/>
      <x:c r="D18" s="89"/>
      <x:c r="E18" s="89"/>
      <x:c r="F18" s="89"/>
      <x:c r="G18" s="89"/>
      <x:c r="H18" s="89"/>
    </x:row>
    <x:row r="19">
      <x:c r="A19" s="90" t="str">
        <x:v>СРАВНЕНИЕ ЦЕН — НОРМАЛИЗОВАННАЯ ЗАМЕНА ОСНОВАТЕЛЯ</x:v>
      </x:c>
      <x:c r="B19" s="90"/>
      <x:c r="C19" s="90"/>
      <x:c r="D19" s="90"/>
      <x:c r="E19" s="90"/>
      <x:c r="F19" s="90"/>
      <x:c r="G19" s="90"/>
      <x:c r="H19" s="90"/>
    </x:row>
    <x:row r="20">
      <x:c r="A20" s="56" t="str">
        <x:v>Метрика</x:v>
      </x:c>
      <x:c r="B20" s="57" t="str">
        <x:v>14 990 ₽ (отклонено)</x:v>
      </x:c>
      <x:c r="C20" s="57" t="str">
        <x:v>19 990 ₽ (пилот)</x:v>
      </x:c>
      <x:c r="D20" s="58" t="str">
        <x:v>26 990 ₽ (следующий набор)</x:v>
      </x:c>
      <x:c r="E20" s="89"/>
      <x:c r="F20" s="89"/>
      <x:c r="G20" s="89"/>
      <x:c r="H20" s="89"/>
    </x:row>
    <x:row r="21">
      <x:c r="A21" s="63" t="str">
        <x:v>Цена/клиент</x:v>
      </x:c>
      <x:c r="B21" s="65" t="n">
        <x:f>$B$8</x:f>
        <x:v>14990</x:v>
      </x:c>
      <x:c r="C21" s="65" t="n">
        <x:f>$B$6</x:f>
        <x:v>19990</x:v>
      </x:c>
      <x:c r="D21" s="65" t="n">
        <x:f>$B$7</x:f>
        <x:v>26990</x:v>
      </x:c>
      <x:c r="E21" s="89"/>
      <x:c r="F21" s="89"/>
      <x:c r="G21" s="89"/>
      <x:c r="H21" s="89"/>
    </x:row>
    <x:row r="22">
      <x:c r="A22" s="63" t="str">
        <x:v>Куратор</x:v>
      </x:c>
      <x:c r="B22" s="65" t="n">
        <x:f>$B$11</x:f>
        <x:v>6250</x:v>
      </x:c>
      <x:c r="C22" s="65" t="n">
        <x:f>$B$11</x:f>
        <x:v>6250</x:v>
      </x:c>
      <x:c r="D22" s="65" t="n">
        <x:f>$B$11</x:f>
        <x:v>6250</x:v>
      </x:c>
      <x:c r="E22" s="89"/>
      <x:c r="F22" s="89"/>
      <x:c r="G22" s="89"/>
      <x:c r="H22" s="89"/>
    </x:row>
    <x:row r="23">
      <x:c r="A23" s="63" t="str">
        <x:v>Тренировочная функция</x:v>
      </x:c>
      <x:c r="B23" s="65" t="n">
        <x:f>$B$12*$B$14</x:f>
        <x:v>8100.000000000001</x:v>
      </x:c>
      <x:c r="C23" s="65" t="n">
        <x:f>$B$12*$B$14</x:f>
        <x:v>8100.000000000001</x:v>
      </x:c>
      <x:c r="D23" s="65" t="n">
        <x:f>$B$12*$B$14</x:f>
        <x:v>8100.000000000001</x:v>
      </x:c>
      <x:c r="E23" s="89"/>
      <x:c r="F23" s="89"/>
      <x:c r="G23" s="89"/>
      <x:c r="H23" s="89"/>
    </x:row>
    <x:row r="24">
      <x:c r="A24" s="63" t="str">
        <x:v>Эквайринг</x:v>
      </x:c>
      <x:c r="B24" s="65" t="n">
        <x:f>B21*$B$9</x:f>
        <x:v>524.6500000000001</x:v>
      </x:c>
      <x:c r="C24" s="65" t="n">
        <x:f>C21*$B$9</x:f>
        <x:v>699.6500000000001</x:v>
      </x:c>
      <x:c r="D24" s="65" t="n">
        <x:f>D21*$B$9</x:f>
        <x:v>944.6500000000001</x:v>
      </x:c>
      <x:c r="E24" s="89"/>
      <x:c r="F24" s="89"/>
      <x:c r="G24" s="89"/>
      <x:c r="H24" s="89"/>
    </x:row>
    <x:row r="25">
      <x:c r="A25" s="63" t="str">
        <x:v>Инфраструктура</x:v>
      </x:c>
      <x:c r="B25" s="65" t="n">
        <x:f>$B$10</x:f>
        <x:v>50</x:v>
      </x:c>
      <x:c r="C25" s="65" t="n">
        <x:f>$B$10</x:f>
        <x:v>50</x:v>
      </x:c>
      <x:c r="D25" s="65" t="n">
        <x:f>$B$10</x:f>
        <x:v>50</x:v>
      </x:c>
      <x:c r="E25" s="89"/>
      <x:c r="F25" s="89"/>
      <x:c r="G25" s="89"/>
      <x:c r="H25" s="89"/>
    </x:row>
    <x:row r="26">
      <x:c r="A26" s="63" t="str">
        <x:v>Валовая прибыль/мес</x:v>
      </x:c>
      <x:c r="B26" s="73" t="n">
        <x:f>B21-SUM(B22:B25)</x:f>
        <x:v>65.35000000000036</x:v>
      </x:c>
      <x:c r="C26" s="68" t="n">
        <x:f>C21-SUM(C22:C25)</x:f>
        <x:v>4890.35</x:v>
      </x:c>
      <x:c r="D26" s="77" t="n">
        <x:f>D21-SUM(D22:D25)</x:f>
        <x:v>11645.35</x:v>
      </x:c>
      <x:c r="E26" s="89"/>
      <x:c r="F26" s="89"/>
      <x:c r="G26" s="89"/>
      <x:c r="H26" s="89"/>
    </x:row>
    <x:row r="27">
      <x:c r="A27" s="63" t="str">
        <x:v>Валовая маржа</x:v>
      </x:c>
      <x:c r="B27" s="74" t="n">
        <x:f>B26/B21</x:f>
        <x:v>0.004359573048699157</x:v>
      </x:c>
      <x:c r="C27" s="69" t="n">
        <x:f>C26/C21</x:f>
        <x:v>0.244639819909955</x:v>
      </x:c>
      <x:c r="D27" s="78" t="n">
        <x:f>D26/D21</x:f>
        <x:v>0.43146906261578366</x:v>
      </x:c>
      <x:c r="E27" s="89"/>
      <x:c r="F27" s="89"/>
      <x:c r="G27" s="89"/>
      <x:c r="H27" s="89"/>
    </x:row>
    <x:row r="28">
      <x:c r="A28" s="63" t="str">
        <x:v>Стартовая нагрузка, первый месяц</x:v>
      </x:c>
      <x:c r="B28" s="73" t="n">
        <x:f>$B$12*$B$15</x:f>
        <x:v>1500</x:v>
      </x:c>
      <x:c r="C28" s="68" t="n">
        <x:f>$B$12*$B$15</x:f>
        <x:v>1500</x:v>
      </x:c>
      <x:c r="D28" s="77" t="n">
        <x:f>$B$12*$B$15</x:f>
        <x:v>1500</x:v>
      </x:c>
      <x:c r="E28" s="89"/>
      <x:c r="F28" s="89"/>
      <x:c r="G28" s="89"/>
      <x:c r="H28" s="89"/>
    </x:row>
    <x:row r="29">
      <x:c r="A29" s="63" t="str">
        <x:v>Валовая прибыль, первый месяц</x:v>
      </x:c>
      <x:c r="B29" s="73" t="n">
        <x:f>B26-B28</x:f>
        <x:v>-1434.6499999999996</x:v>
      </x:c>
      <x:c r="C29" s="68" t="n">
        <x:f>C26-C28</x:f>
        <x:v>3390.3500000000004</x:v>
      </x:c>
      <x:c r="D29" s="77" t="n">
        <x:f>D26-D28</x:f>
        <x:v>10145.35</x:v>
      </x:c>
      <x:c r="E29" s="89"/>
      <x:c r="F29" s="89"/>
      <x:c r="G29" s="89"/>
      <x:c r="H29" s="89"/>
    </x:row>
    <x:row r="30">
      <x:c r="A30" s="64" t="str">
        <x:v>Маржа, первый месяц</x:v>
      </x:c>
      <x:c r="B30" s="75" t="n">
        <x:f>B29/B21</x:f>
        <x:v>-0.09570713809206136</x:v>
      </x:c>
      <x:c r="C30" s="76" t="n">
        <x:f>C29/C21</x:f>
        <x:v>0.1696023011505753</x:v>
      </x:c>
      <x:c r="D30" s="79" t="n">
        <x:f>D29/D21</x:f>
        <x:v>0.37589292330492774</x:v>
      </x:c>
      <x:c r="E30" s="89"/>
      <x:c r="F30" s="89"/>
      <x:c r="G30" s="89"/>
      <x:c r="H30" s="89"/>
    </x:row>
    <x:row r="31">
      <x:c r="A31" s="89"/>
      <x:c r="B31" s="89"/>
      <x:c r="C31" s="89"/>
      <x:c r="D31" s="89"/>
      <x:c r="E31" s="89"/>
      <x:c r="F31" s="89"/>
      <x:c r="G31" s="89"/>
      <x:c r="H31" s="89"/>
    </x:row>
    <x:row r="32">
      <x:c r="A32" s="90" t="str">
        <x:v>ДЕНЕЖНАЯ ЭКОНОМИКА ПИЛОТА — ОСНОВАТЕЛЬ НЕ ПОЛУЧАЕТ ОТДЕЛЬНУЮ ОПЛАТУ, НО ВРЕМЯ ВИДНО</x:v>
      </x:c>
      <x:c r="B32" s="90"/>
      <x:c r="C32" s="90"/>
      <x:c r="D32" s="90"/>
      <x:c r="E32" s="90"/>
      <x:c r="F32" s="90"/>
      <x:c r="G32" s="90"/>
      <x:c r="H32" s="90"/>
    </x:row>
    <x:row r="33">
      <x:c r="A33" s="56" t="str">
        <x:v>Метрика</x:v>
      </x:c>
      <x:c r="B33" s="57" t="str">
        <x:v>2 клиента</x:v>
      </x:c>
      <x:c r="C33" s="58" t="str">
        <x:v>4 клиента — лимит</x:v>
      </x:c>
      <x:c r="D33" s="89"/>
      <x:c r="E33" s="89"/>
      <x:c r="F33" s="89"/>
      <x:c r="G33" s="89"/>
      <x:c r="H33" s="89"/>
    </x:row>
    <x:row r="34">
      <x:c r="A34" s="63" t="str">
        <x:v>Клиенты</x:v>
      </x:c>
      <x:c r="B34" s="63" t="n">
        <x:v>2</x:v>
      </x:c>
      <x:c r="C34" s="63" t="n">
        <x:v>4</x:v>
      </x:c>
      <x:c r="D34" s="89"/>
      <x:c r="E34" s="89"/>
      <x:c r="F34" s="89"/>
      <x:c r="G34" s="89"/>
      <x:c r="H34" s="89"/>
    </x:row>
    <x:row r="35">
      <x:c r="A35" s="63" t="str">
        <x:v>Цена/клиент</x:v>
      </x:c>
      <x:c r="B35" s="65" t="n">
        <x:f>$B$6</x:f>
        <x:v>19990</x:v>
      </x:c>
      <x:c r="C35" s="65" t="n">
        <x:f>$B$6</x:f>
        <x:v>19990</x:v>
      </x:c>
      <x:c r="D35" s="89"/>
      <x:c r="E35" s="89"/>
      <x:c r="F35" s="89"/>
      <x:c r="G35" s="89"/>
      <x:c r="H35" s="89"/>
    </x:row>
    <x:row r="36">
      <x:c r="A36" s="63" t="str">
        <x:v>Выручка/мес</x:v>
      </x:c>
      <x:c r="B36" s="65" t="n">
        <x:f>B34*B35</x:f>
        <x:v>39980</x:v>
      </x:c>
      <x:c r="C36" s="65" t="n">
        <x:f>C34*C35</x:f>
        <x:v>79960</x:v>
      </x:c>
      <x:c r="D36" s="89"/>
      <x:c r="E36" s="89"/>
      <x:c r="F36" s="89"/>
      <x:c r="G36" s="89"/>
      <x:c r="H36" s="89"/>
    </x:row>
    <x:row r="37">
      <x:c r="A37" s="63" t="str">
        <x:v>Денежная оплата основателю</x:v>
      </x:c>
      <x:c r="B37" s="65" t="n">
        <x:v>0</x:v>
      </x:c>
      <x:c r="C37" s="65" t="n">
        <x:v>0</x:v>
      </x:c>
      <x:c r="D37" s="89"/>
      <x:c r="E37" s="89"/>
      <x:c r="F37" s="89"/>
      <x:c r="G37" s="89"/>
      <x:c r="H37" s="89"/>
    </x:row>
    <x:row r="38">
      <x:c r="A38" s="63" t="str">
        <x:v>Эквайринг</x:v>
      </x:c>
      <x:c r="B38" s="65" t="n">
        <x:f>B36*$B$9</x:f>
        <x:v>1399.3000000000002</x:v>
      </x:c>
      <x:c r="C38" s="65" t="n">
        <x:f>C36*$B$9</x:f>
        <x:v>2798.6000000000004</x:v>
      </x:c>
      <x:c r="D38" s="89"/>
      <x:c r="E38" s="89"/>
      <x:c r="F38" s="89"/>
      <x:c r="G38" s="89"/>
      <x:c r="H38" s="89"/>
    </x:row>
    <x:row r="39">
      <x:c r="A39" s="63" t="str">
        <x:v>Инфраструктура</x:v>
      </x:c>
      <x:c r="B39" s="65" t="n">
        <x:f>B34*$B$10</x:f>
        <x:v>100</x:v>
      </x:c>
      <x:c r="C39" s="65" t="n">
        <x:f>C34*$B$10</x:f>
        <x:v>200</x:v>
      </x:c>
      <x:c r="D39" s="89"/>
      <x:c r="E39" s="89"/>
      <x:c r="F39" s="89"/>
      <x:c r="G39" s="89"/>
      <x:c r="H39" s="89"/>
    </x:row>
    <x:row r="40">
      <x:c r="A40" s="63" t="str">
        <x:v>Денежная валовая прибыль</x:v>
      </x:c>
      <x:c r="B40" s="68" t="n">
        <x:f>B36-SUM(B37:B39)</x:f>
        <x:v>38480.7</x:v>
      </x:c>
      <x:c r="C40" s="68" t="n">
        <x:f>C36-SUM(C37:C39)</x:f>
        <x:v>76961.4</x:v>
      </x:c>
      <x:c r="D40" s="89"/>
      <x:c r="E40" s="89"/>
      <x:c r="F40" s="89"/>
      <x:c r="G40" s="89"/>
      <x:c r="H40" s="89"/>
    </x:row>
    <x:row r="41">
      <x:c r="A41" s="63" t="str">
        <x:v>Денежная валовая маржа</x:v>
      </x:c>
      <x:c r="B41" s="69" t="n">
        <x:f>B40/B36</x:f>
        <x:v>0.9624987493746873</x:v>
      </x:c>
      <x:c r="C41" s="69" t="n">
        <x:f>C40/C36</x:f>
        <x:v>0.9624987493746873</x:v>
      </x:c>
      <x:c r="D41" s="89"/>
      <x:c r="E41" s="89"/>
      <x:c r="F41" s="89"/>
      <x:c r="G41" s="89"/>
      <x:c r="H41" s="89"/>
    </x:row>
    <x:row r="42">
      <x:c r="A42" s="63" t="str">
        <x:v>Founder-time, регулярный месяц</x:v>
      </x:c>
      <x:c r="B42" s="82" t="n">
        <x:f>B34*$B$16</x:f>
        <x:v>19.133333333333333</x:v>
      </x:c>
      <x:c r="C42" s="82" t="n">
        <x:f>C34*$B$16</x:f>
        <x:v>38.266666666666666</x:v>
      </x:c>
      <x:c r="D42" s="89"/>
      <x:c r="E42" s="89"/>
      <x:c r="F42" s="89"/>
      <x:c r="G42" s="89"/>
      <x:c r="H42" s="89"/>
    </x:row>
    <x:row r="43">
      <x:c r="A43" s="64" t="str">
        <x:v>Founder-time, первый месяц</x:v>
      </x:c>
      <x:c r="B43" s="83" t="n">
        <x:f>B42+B34*$B$15</x:f>
        <x:v>21.133333333333333</x:v>
      </x:c>
      <x:c r="C43" s="83" t="n">
        <x:f>C42+C34*$B$15</x:f>
        <x:v>42.266666666666666</x:v>
      </x:c>
      <x:c r="D43" s="89"/>
      <x:c r="E43" s="89"/>
      <x:c r="F43" s="89"/>
      <x:c r="G43" s="89"/>
      <x:c r="H43" s="89"/>
    </x:row>
    <x:row r="44">
      <x:c r="A44" s="89"/>
      <x:c r="B44" s="89"/>
      <x:c r="C44" s="89"/>
      <x:c r="D44" s="89"/>
      <x:c r="E44" s="89"/>
      <x:c r="F44" s="89"/>
      <x:c r="G44" s="89"/>
      <x:c r="H44" s="89"/>
    </x:row>
    <x:row r="45">
      <x:c r="A45" s="90" t="str">
        <x:v>НОРМАЛИЗОВАННЫЕ СЦЕНАРИИ НАГРУЗКИ — БУДУЩАЯ ЗАМЕНА ДВУМЯ ФУНКЦИЯМИ</x:v>
      </x:c>
      <x:c r="B45" s="90"/>
      <x:c r="C45" s="90"/>
      <x:c r="D45" s="90"/>
      <x:c r="E45" s="90"/>
      <x:c r="F45" s="90"/>
      <x:c r="G45" s="90"/>
      <x:c r="H45" s="90"/>
    </x:row>
    <x:row r="46">
      <x:c r="A46" s="56" t="str">
        <x:v>Метрика</x:v>
      </x:c>
      <x:c r="B46" s="57" t="str">
        <x:v>4 клиента — пилот</x:v>
      </x:c>
      <x:c r="C46" s="57" t="str">
        <x:v>8 клиентов — gate</x:v>
      </x:c>
      <x:c r="D46" s="58" t="str">
        <x:v>12 клиентов — расчётный предел</x:v>
      </x:c>
      <x:c r="E46" s="89"/>
      <x:c r="F46" s="89"/>
      <x:c r="G46" s="89"/>
      <x:c r="H46" s="89"/>
    </x:row>
    <x:row r="47">
      <x:c r="A47" s="63" t="str">
        <x:v>Клиенты</x:v>
      </x:c>
      <x:c r="B47" s="63" t="n">
        <x:v>4</x:v>
      </x:c>
      <x:c r="C47" s="63" t="n">
        <x:v>8</x:v>
      </x:c>
      <x:c r="D47" s="63" t="n">
        <x:v>12</x:v>
      </x:c>
      <x:c r="E47" s="89"/>
      <x:c r="F47" s="89"/>
      <x:c r="G47" s="89"/>
      <x:c r="H47" s="89"/>
    </x:row>
    <x:row r="48">
      <x:c r="A48" s="63" t="str">
        <x:v>Цена/клиент</x:v>
      </x:c>
      <x:c r="B48" s="65" t="n">
        <x:f>$B$6</x:f>
        <x:v>19990</x:v>
      </x:c>
      <x:c r="C48" s="65" t="n">
        <x:f>$B$7</x:f>
        <x:v>26990</x:v>
      </x:c>
      <x:c r="D48" s="65" t="n">
        <x:f>$B$7</x:f>
        <x:v>26990</x:v>
      </x:c>
      <x:c r="E48" s="89"/>
      <x:c r="F48" s="89"/>
      <x:c r="G48" s="89"/>
      <x:c r="H48" s="89"/>
    </x:row>
    <x:row r="49">
      <x:c r="A49" s="63" t="str">
        <x:v>Выручка/мес</x:v>
      </x:c>
      <x:c r="B49" s="65" t="n">
        <x:f>B47*B48</x:f>
        <x:v>79960</x:v>
      </x:c>
      <x:c r="C49" s="65" t="n">
        <x:f>C47*C48</x:f>
        <x:v>215920</x:v>
      </x:c>
      <x:c r="D49" s="65" t="n">
        <x:f>D47*D48</x:f>
        <x:v>323880</x:v>
      </x:c>
      <x:c r="E49" s="89"/>
      <x:c r="F49" s="89"/>
      <x:c r="G49" s="89"/>
      <x:c r="H49" s="89"/>
    </x:row>
    <x:row r="50">
      <x:c r="A50" s="63" t="str">
        <x:v>Кураторская функция, ч</x:v>
      </x:c>
      <x:c r="B50" s="80" t="n">
        <x:f>B47*$B$13</x:f>
        <x:v>16.666666666666668</x:v>
      </x:c>
      <x:c r="C50" s="80" t="n">
        <x:f>C47*$B$13</x:f>
        <x:v>33.333333333333336</x:v>
      </x:c>
      <x:c r="D50" s="80" t="n">
        <x:f>D47*$B$13</x:f>
        <x:v>50</x:v>
      </x:c>
      <x:c r="E50" s="89"/>
      <x:c r="F50" s="89"/>
      <x:c r="G50" s="89"/>
      <x:c r="H50" s="89"/>
    </x:row>
    <x:row r="51">
      <x:c r="A51" s="63" t="str">
        <x:v>Тренировочная функция, ч</x:v>
      </x:c>
      <x:c r="B51" s="80" t="n">
        <x:f>B47*$B$14</x:f>
        <x:v>21.6</x:v>
      </x:c>
      <x:c r="C51" s="80" t="n">
        <x:f>C47*$B$14</x:f>
        <x:v>43.2</x:v>
      </x:c>
      <x:c r="D51" s="80" t="n">
        <x:f>D47*$B$14</x:f>
        <x:v>64.80000000000001</x:v>
      </x:c>
      <x:c r="E51" s="89"/>
      <x:c r="F51" s="89"/>
      <x:c r="G51" s="89"/>
      <x:c r="H51" s="89"/>
    </x:row>
    <x:row r="52">
      <x:c r="A52" s="63" t="str">
        <x:v>Стоимость куратора</x:v>
      </x:c>
      <x:c r="B52" s="65" t="n">
        <x:f>B47*$B$11</x:f>
        <x:v>25000</x:v>
      </x:c>
      <x:c r="C52" s="65" t="n">
        <x:f>C47*$B$11</x:f>
        <x:v>50000</x:v>
      </x:c>
      <x:c r="D52" s="65" t="n">
        <x:f>D47*$B$11</x:f>
        <x:v>75000</x:v>
      </x:c>
      <x:c r="E52" s="89"/>
      <x:c r="F52" s="89"/>
      <x:c r="G52" s="89"/>
      <x:c r="H52" s="89"/>
    </x:row>
    <x:row r="53">
      <x:c r="A53" s="63" t="str">
        <x:v>Стоимость тренировочной функции</x:v>
      </x:c>
      <x:c r="B53" s="65" t="n">
        <x:f>B47*$B$12*$B$14</x:f>
        <x:v>32400.000000000004</x:v>
      </x:c>
      <x:c r="C53" s="65" t="n">
        <x:f>C47*$B$12*$B$14</x:f>
        <x:v>64800.00000000001</x:v>
      </x:c>
      <x:c r="D53" s="65" t="n">
        <x:f>D47*$B$12*$B$14</x:f>
        <x:v>97200</x:v>
      </x:c>
      <x:c r="E53" s="89"/>
      <x:c r="F53" s="89"/>
      <x:c r="G53" s="89"/>
      <x:c r="H53" s="89"/>
    </x:row>
    <x:row r="54">
      <x:c r="A54" s="63" t="str">
        <x:v>Эквайринг</x:v>
      </x:c>
      <x:c r="B54" s="65" t="n">
        <x:f>B49*$B$9</x:f>
        <x:v>2798.6000000000004</x:v>
      </x:c>
      <x:c r="C54" s="65" t="n">
        <x:f>C49*$B$9</x:f>
        <x:v>7557.200000000001</x:v>
      </x:c>
      <x:c r="D54" s="65" t="n">
        <x:f>D49*$B$9</x:f>
        <x:v>11335.800000000001</x:v>
      </x:c>
      <x:c r="E54" s="89"/>
      <x:c r="F54" s="89"/>
      <x:c r="G54" s="89"/>
      <x:c r="H54" s="89"/>
    </x:row>
    <x:row r="55">
      <x:c r="A55" s="63" t="str">
        <x:v>Инфраструктура</x:v>
      </x:c>
      <x:c r="B55" s="65" t="n">
        <x:f>B47*$B$10</x:f>
        <x:v>200</x:v>
      </x:c>
      <x:c r="C55" s="65" t="n">
        <x:f>C47*$B$10</x:f>
        <x:v>400</x:v>
      </x:c>
      <x:c r="D55" s="65" t="n">
        <x:f>D47*$B$10</x:f>
        <x:v>600</x:v>
      </x:c>
      <x:c r="E55" s="89"/>
      <x:c r="F55" s="89"/>
      <x:c r="G55" s="89"/>
      <x:c r="H55" s="89"/>
    </x:row>
    <x:row r="56">
      <x:c r="A56" s="63" t="str">
        <x:v>Валовая прибыль/мес</x:v>
      </x:c>
      <x:c r="B56" s="68" t="n">
        <x:f>B49-SUM(B52:B55)</x:f>
        <x:v>19561.4</x:v>
      </x:c>
      <x:c r="C56" s="77" t="n">
        <x:f>C49-SUM(C52:C55)</x:f>
        <x:v>93162.8</x:v>
      </x:c>
      <x:c r="D56" s="77" t="n">
        <x:f>D49-SUM(D52:D55)</x:f>
        <x:v>139744.2</x:v>
      </x:c>
      <x:c r="E56" s="89"/>
      <x:c r="F56" s="89"/>
      <x:c r="G56" s="89"/>
      <x:c r="H56" s="89"/>
    </x:row>
    <x:row r="57">
      <x:c r="A57" s="63" t="str">
        <x:v>Валовая маржа</x:v>
      </x:c>
      <x:c r="B57" s="69" t="n">
        <x:f>B56/B49</x:f>
        <x:v>0.244639819909955</x:v>
      </x:c>
      <x:c r="C57" s="78" t="n">
        <x:f>C56/C49</x:f>
        <x:v>0.43146906261578366</x:v>
      </x:c>
      <x:c r="D57" s="78" t="n">
        <x:f>D56/D49</x:f>
        <x:v>0.43146906261578366</x:v>
      </x:c>
      <x:c r="E57" s="89"/>
      <x:c r="F57" s="89"/>
      <x:c r="G57" s="89"/>
      <x:c r="H57" s="89"/>
    </x:row>
    <x:row r="58">
      <x:c r="A58" s="63" t="str">
        <x:v>Стартовая нагрузка, первый месяц</x:v>
      </x:c>
      <x:c r="B58" s="68" t="n">
        <x:f>B47*$B$12*$B$15</x:f>
        <x:v>6000</x:v>
      </x:c>
      <x:c r="C58" s="77" t="n">
        <x:f>C47*$B$12*$B$15</x:f>
        <x:v>12000</x:v>
      </x:c>
      <x:c r="D58" s="77" t="n">
        <x:f>D47*$B$12*$B$15</x:f>
        <x:v>18000</x:v>
      </x:c>
      <x:c r="E58" s="89"/>
      <x:c r="F58" s="89"/>
      <x:c r="G58" s="89"/>
      <x:c r="H58" s="89"/>
    </x:row>
    <x:row r="59">
      <x:c r="A59" s="63" t="str">
        <x:v>Валовая прибыль, первый месяц</x:v>
      </x:c>
      <x:c r="B59" s="68" t="n">
        <x:f>B56-B58</x:f>
        <x:v>13561.400000000001</x:v>
      </x:c>
      <x:c r="C59" s="77" t="n">
        <x:f>C56-C58</x:f>
        <x:v>81162.8</x:v>
      </x:c>
      <x:c r="D59" s="77" t="n">
        <x:f>D56-D58</x:f>
        <x:v>121744.20000000001</x:v>
      </x:c>
      <x:c r="E59" s="89"/>
      <x:c r="F59" s="89"/>
      <x:c r="G59" s="89"/>
      <x:c r="H59" s="89"/>
    </x:row>
    <x:row r="60">
      <x:c r="A60" s="64" t="str">
        <x:v>Маржа, первый месяц</x:v>
      </x:c>
      <x:c r="B60" s="76" t="n">
        <x:f>B59/B49</x:f>
        <x:v>0.1696023011505753</x:v>
      </x:c>
      <x:c r="C60" s="79" t="n">
        <x:f>C59/C49</x:f>
        <x:v>0.37589292330492774</x:v>
      </x:c>
      <x:c r="D60" s="79" t="n">
        <x:f>D59/D49</x:f>
        <x:v>0.3758929233049278</x:v>
      </x:c>
      <x:c r="E60" s="89"/>
      <x:c r="F60" s="89"/>
      <x:c r="G60" s="89"/>
      <x:c r="H60" s="89"/>
    </x:row>
    <x:row r="61">
      <x:c r="A61" s="89"/>
      <x:c r="B61" s="89"/>
      <x:c r="C61" s="89"/>
      <x:c r="D61" s="89"/>
      <x:c r="E61" s="89"/>
      <x:c r="F61" s="89"/>
      <x:c r="G61" s="89"/>
      <x:c r="H61" s="89"/>
    </x:row>
    <x:row r="62">
      <x:c r="A62" s="90" t="str">
        <x:v>CAPACITY-GATE</x:v>
      </x:c>
      <x:c r="B62" s="90"/>
      <x:c r="C62" s="90"/>
      <x:c r="D62" s="90"/>
      <x:c r="E62" s="90"/>
      <x:c r="F62" s="90"/>
      <x:c r="G62" s="90"/>
      <x:c r="H62" s="90"/>
    </x:row>
    <x:row r="63">
      <x:c r="A63" s="87" t="str">
        <x:v>Публичный лимит — 4 клиента. Расширение до 8 возможно только после замера фактического founder-time, качества сопровождения и разделения ролей. 12 — расчётный предел будущей связки, не публичное обещание. Если фактическое время выше модели, до расширения меняются состав, лимиты или цена.</x:v>
      </x:c>
      <x:c r="B63" s="87"/>
      <x:c r="C63" s="87"/>
      <x:c r="D63" s="87"/>
      <x:c r="E63" s="87"/>
      <x:c r="F63" s="87"/>
      <x:c r="G63" s="87"/>
      <x:c r="H63" s="87"/>
    </x:row>
    <x:row r="64">
      <x:c r="A64" s="87"/>
      <x:c r="B64" s="87"/>
      <x:c r="C64" s="87"/>
      <x:c r="D64" s="87"/>
      <x:c r="E64" s="87"/>
      <x:c r="F64" s="87"/>
      <x:c r="G64" s="87"/>
      <x:c r="H64" s="87"/>
    </x:row>
    <x:row r="65">
      <x:c r="A65" s="87"/>
      <x:c r="B65" s="87"/>
      <x:c r="C65" s="87"/>
      <x:c r="D65" s="87"/>
      <x:c r="E65" s="87"/>
      <x:c r="F65" s="87"/>
      <x:c r="G65" s="87"/>
      <x:c r="H65" s="87"/>
    </x:row>
    <x:row r="66">
      <x:c r="A66" s="87"/>
      <x:c r="B66" s="87"/>
      <x:c r="C66" s="87"/>
      <x:c r="D66" s="87"/>
      <x:c r="E66" s="87"/>
      <x:c r="F66" s="87"/>
      <x:c r="G66" s="87"/>
      <x:c r="H66" s="87"/>
    </x:row>
  </x:sheetData>
  <x:mergeCells>
    <x:mergeCell ref="A1:H1"/>
    <x:mergeCell ref="A2:H2"/>
    <x:mergeCell ref="A4:H4"/>
    <x:mergeCell ref="A19:H19"/>
    <x:mergeCell ref="A32:H32"/>
    <x:mergeCell ref="A45:H45"/>
    <x:mergeCell ref="A62:H62"/>
    <x:mergeCell ref="A63:H66"/>
  </x:mergeCells>
  <x:pageMargins left="0.7" right="0.7" top="0.75" bottom="0.75" header="0.3" footer="0.3"/>
</x:worksheet>
</file>